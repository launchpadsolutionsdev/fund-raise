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oraul01\OneDrive - NWOHealth\reporting\"/>
    </mc:Choice>
  </mc:AlternateContent>
  <bookViews>
    <workbookView xWindow="0" yWindow="0" windowWidth="28800" windowHeight="12180"/>
  </bookViews>
  <sheets>
    <sheet name="REPORT" sheetId="1" r:id="rId1"/>
    <sheet name="RAW" sheetId="2" r:id="rId2"/>
    <sheet name="INSTRUC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C12" i="1" s="1"/>
  <c r="B2" i="1"/>
  <c r="E3" i="1"/>
  <c r="E2" i="1"/>
  <c r="B3" i="1" l="1"/>
  <c r="B6" i="1" s="1"/>
  <c r="E6" i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B15" i="1"/>
  <c r="B16" i="1"/>
  <c r="B17" i="1"/>
  <c r="B18" i="1"/>
  <c r="B19" i="1"/>
  <c r="B20" i="1"/>
  <c r="B21" i="1"/>
  <c r="B22" i="1"/>
  <c r="B23" i="1"/>
  <c r="B24" i="1"/>
  <c r="B25" i="1"/>
  <c r="B11" i="1"/>
  <c r="F39" i="1" l="1"/>
  <c r="C21" i="1"/>
  <c r="C19" i="1"/>
  <c r="C18" i="1"/>
  <c r="C17" i="1"/>
  <c r="C25" i="1"/>
  <c r="C23" i="1"/>
  <c r="C22" i="1"/>
  <c r="C20" i="1"/>
  <c r="C16" i="1"/>
  <c r="C24" i="1"/>
  <c r="B9" i="1" l="1"/>
  <c r="C9" i="1" s="1"/>
  <c r="B10" i="1"/>
  <c r="C11" i="1" l="1"/>
  <c r="C10" i="1"/>
  <c r="C15" i="1"/>
  <c r="C26" i="1" s="1"/>
</calcChain>
</file>

<file path=xl/sharedStrings.xml><?xml version="1.0" encoding="utf-8"?>
<sst xmlns="http://schemas.openxmlformats.org/spreadsheetml/2006/main" count="10403" uniqueCount="2046">
  <si>
    <t>cash</t>
  </si>
  <si>
    <t>Gift Type</t>
  </si>
  <si>
    <t>Northern Cancer Fund</t>
  </si>
  <si>
    <t>Tbaytel Tamarack House Fund</t>
  </si>
  <si>
    <t>Gift By Fund</t>
  </si>
  <si>
    <t>Amount</t>
  </si>
  <si>
    <t>%</t>
  </si>
  <si>
    <t>using data from 4/1/25 to 3/31/26</t>
  </si>
  <si>
    <t>General Healthcare Fund</t>
  </si>
  <si>
    <t>Northern Cardiac Fund</t>
  </si>
  <si>
    <t>Ms. and Mr. Margaret Kydd</t>
  </si>
  <si>
    <t>Ms. Shirley Glueheisen</t>
  </si>
  <si>
    <t>Mrs. Adeline Hunt</t>
  </si>
  <si>
    <t>Dr. Kirsten M. Addison and Mr. Neil McCartney</t>
  </si>
  <si>
    <t>Anonymous Donations</t>
  </si>
  <si>
    <t>Ms. Janet Vanderwey</t>
  </si>
  <si>
    <t>Mr. William &amp; Mrs. Betty Vanderwees</t>
  </si>
  <si>
    <t>Breast Cancer Fund</t>
  </si>
  <si>
    <t>Cardiovascular Surgery Fund</t>
  </si>
  <si>
    <t>Lions Vision Care Centre Fund</t>
  </si>
  <si>
    <t>Ms. Rosalina Brizi &amp; Mr. Peter Buchan</t>
  </si>
  <si>
    <t>Mrs. Shelley Macaulay</t>
  </si>
  <si>
    <t>Mrs. Marnie Madeo</t>
  </si>
  <si>
    <t>Ms. Kandace Paterson</t>
  </si>
  <si>
    <t>Mrs. Sandra &amp; Dr. George Doig</t>
  </si>
  <si>
    <t>Mrs. Allison B. Kasper</t>
  </si>
  <si>
    <t>Mrs. Joanne &amp; Mr. Stephen Kranyak</t>
  </si>
  <si>
    <t>Jennifer Soenen</t>
  </si>
  <si>
    <t>Janice Yahn</t>
  </si>
  <si>
    <t>Mrs. JoAnne Diakow</t>
  </si>
  <si>
    <t>Mr. Lawrence &amp; Mrs. Patricia Jakubowski</t>
  </si>
  <si>
    <t>Mr. Edward &amp; Mrs. Verna Benka</t>
  </si>
  <si>
    <t>Mr. Andrew Sheare</t>
  </si>
  <si>
    <t>Ms. Melissa R. Mannila</t>
  </si>
  <si>
    <t>Mr. Nelson Samuel</t>
  </si>
  <si>
    <t>Mr. Scott Cameron</t>
  </si>
  <si>
    <t>Mrs. Arlene Trochimchuk</t>
  </si>
  <si>
    <t>Mrs. Edna LaBelle</t>
  </si>
  <si>
    <t>Adult Mental Health Fund</t>
  </si>
  <si>
    <t>Child &amp; Adolescent Mental Health Fund</t>
  </si>
  <si>
    <t>Mr. Ronald R. Wakewich</t>
  </si>
  <si>
    <t>Ms. Victoria Mauro</t>
  </si>
  <si>
    <t>NICU Fund</t>
  </si>
  <si>
    <t>Mr. Michael McLean</t>
  </si>
  <si>
    <t>Mr. James R. Piper</t>
  </si>
  <si>
    <t>Mr. Peter &amp; Mrs. Helen Knudsen</t>
  </si>
  <si>
    <t>Mr. Ray Markham</t>
  </si>
  <si>
    <t>Mrs. Celina &amp; Mr. Thomas Suttie</t>
  </si>
  <si>
    <t>Dryden Trillium Lions Club</t>
  </si>
  <si>
    <t>Dr. Frank &amp; Mrs. Mara Mauro</t>
  </si>
  <si>
    <t>Mrs. Rita Mauro</t>
  </si>
  <si>
    <t>Mr. Dino Corsini</t>
  </si>
  <si>
    <t>Ms. M. Catherine Wiznuk &amp; Mr. Ted Kopechanski</t>
  </si>
  <si>
    <t>Prostate Cancer Fund</t>
  </si>
  <si>
    <t>Mr. Kevin J. Kennedy</t>
  </si>
  <si>
    <t>Mrs. Christine A. Galati &amp; Family</t>
  </si>
  <si>
    <t>Mrs. Janet Teras &amp; Family</t>
  </si>
  <si>
    <t>Ms. Frances Flook</t>
  </si>
  <si>
    <t>Ms. Patricia Lang</t>
  </si>
  <si>
    <t>Tree of Hope</t>
  </si>
  <si>
    <t>Ms. Ashley Neilson</t>
  </si>
  <si>
    <t>Ms. Krystina Finlayson</t>
  </si>
  <si>
    <t>Mrs. Maxine Sutherland</t>
  </si>
  <si>
    <t>Ms. Lynn Ward</t>
  </si>
  <si>
    <t>Mr. John Walmark</t>
  </si>
  <si>
    <t>Sally A. MacMillan</t>
  </si>
  <si>
    <t>Ms. Kathy Kushnier</t>
  </si>
  <si>
    <t>Mr. Denis Vachon and Mrs. Rita Poulin</t>
  </si>
  <si>
    <t>Mr. Nickolas &amp; Mrs. Eileen Knought</t>
  </si>
  <si>
    <t>Third Party Event</t>
  </si>
  <si>
    <t>Candy Sales</t>
  </si>
  <si>
    <t>Thunder Bay Ladies Pickle Ball</t>
  </si>
  <si>
    <t>Prostate Cancer Support Thunder Bay</t>
  </si>
  <si>
    <t>Funding Innovation</t>
  </si>
  <si>
    <t>Dar's Derby</t>
  </si>
  <si>
    <t>Norteños Taqueria</t>
  </si>
  <si>
    <t>Kenny Hirschfeldt Memorial Golf Tournament</t>
  </si>
  <si>
    <t>Union Gas Limited - Employees'</t>
  </si>
  <si>
    <t>Pocketchange Limited</t>
  </si>
  <si>
    <t>Linda Buchan Centre Fund</t>
  </si>
  <si>
    <t>Ms. Reshma Panickar</t>
  </si>
  <si>
    <t>Mrs. Anita Konopski</t>
  </si>
  <si>
    <t>Ms. Paige James</t>
  </si>
  <si>
    <t>Ms. Melody Audet</t>
  </si>
  <si>
    <t>Ms. Chloe Arbour</t>
  </si>
  <si>
    <t>Ms. Sara Cooper</t>
  </si>
  <si>
    <t>Ms. Katie Salminen</t>
  </si>
  <si>
    <t>Ms Shayla Lindquist</t>
  </si>
  <si>
    <t>Mrs. Angie Young</t>
  </si>
  <si>
    <t>WeCan Program</t>
  </si>
  <si>
    <t>Golf'n Gals - Centennial &amp; Northern Ladies</t>
  </si>
  <si>
    <t>Mrs. Della Jordan-Koski</t>
  </si>
  <si>
    <t>Lisa Aikman's Birthday Fundraiser</t>
  </si>
  <si>
    <t>St. Ignatius High School</t>
  </si>
  <si>
    <t>Alterna Savings &amp; Credit Union (Thunder Bay Office)</t>
  </si>
  <si>
    <t>Blacksheep MTB Club</t>
  </si>
  <si>
    <t>Spin &amp; Sip For A Cure</t>
  </si>
  <si>
    <t>Mrs. Karen Carlucci</t>
  </si>
  <si>
    <t>Mrs. Jodi Afonso</t>
  </si>
  <si>
    <t>Superior Classics Car Club</t>
  </si>
  <si>
    <t>Fat Guys Auto Parts</t>
  </si>
  <si>
    <t>Mrs. Donna Fleming</t>
  </si>
  <si>
    <t>Thunder Brass</t>
  </si>
  <si>
    <t>Seventh Fire Secondary School</t>
  </si>
  <si>
    <t>Grandview Hockey Fights Cancer</t>
  </si>
  <si>
    <t>Mrs. Jennifer Warden</t>
  </si>
  <si>
    <t>Julie  Westerback</t>
  </si>
  <si>
    <t>Mrs. Maureen  McCallum</t>
  </si>
  <si>
    <t>Mrs. Laura Plummer</t>
  </si>
  <si>
    <t>Mr. Matthew McCallum</t>
  </si>
  <si>
    <t>Mrs. Michelle Blackburn</t>
  </si>
  <si>
    <t>Mighty Mitch &amp; Jungle Joe's Jig Flies</t>
  </si>
  <si>
    <t>Indigenous Health Fund</t>
  </si>
  <si>
    <t>Volunteer Association To Thunder Bay Regional HSC</t>
  </si>
  <si>
    <t>Gusterra</t>
  </si>
  <si>
    <t>Kamview Candlelit Ski &amp; Snowshoe</t>
  </si>
  <si>
    <t>Embody Dance Collective</t>
  </si>
  <si>
    <t>Mrs. Melissa Flemming</t>
  </si>
  <si>
    <t>Lakehead University - Think Pink Events</t>
  </si>
  <si>
    <t>Mr. Cliff &amp; Mrs. Kathy Read</t>
  </si>
  <si>
    <t>ThinkPink2025</t>
  </si>
  <si>
    <t>Mobile Giving Foundation Canada</t>
  </si>
  <si>
    <t>Mr. Richard &amp; Mrs. Jennifer MacKenzie</t>
  </si>
  <si>
    <t>Ms. Jennifer Schoffer</t>
  </si>
  <si>
    <t>Ms Nancy Ulakovic</t>
  </si>
  <si>
    <t>Mr. Thomas &amp; Mrs. Pam Dawes</t>
  </si>
  <si>
    <t>Glenn and Laura Craig</t>
  </si>
  <si>
    <t>TBAC</t>
  </si>
  <si>
    <t>Ms Dorothy Tyndall</t>
  </si>
  <si>
    <t>Mrs. Rachel &amp; Mr. Gregory Reed</t>
  </si>
  <si>
    <t>Mr. William E. Wrightsell</t>
  </si>
  <si>
    <t>Steve Seck Consulting</t>
  </si>
  <si>
    <t>Mr. Paul Moore</t>
  </si>
  <si>
    <t>Mr. Daniel Trevisanutto</t>
  </si>
  <si>
    <t>Mr. Lyle &amp; Mrs. Tarja Knudsen</t>
  </si>
  <si>
    <t>Ms. Lynn Martin</t>
  </si>
  <si>
    <t>Mr. Daniel Coghlan</t>
  </si>
  <si>
    <t>Mrs. Beverley &amp; Mr. Don Georgeson</t>
  </si>
  <si>
    <t>Troy Mangatal</t>
  </si>
  <si>
    <t>Ms. Tammy Holtzman</t>
  </si>
  <si>
    <t>Mrs. Lori L. Phillips</t>
  </si>
  <si>
    <t>Mr. Robert &amp; Mrs. Alba Glena</t>
  </si>
  <si>
    <t>Ms. Kari Maenpaa</t>
  </si>
  <si>
    <t>Mr. Randy Nuefeld</t>
  </si>
  <si>
    <t>Mr. Robert &amp; Mrs. Susan Auld</t>
  </si>
  <si>
    <t>Mr. Larry Block</t>
  </si>
  <si>
    <t>Thunder Bay Autosport Club</t>
  </si>
  <si>
    <t>Ms. Evelyn Scott</t>
  </si>
  <si>
    <t>Victoria Chiropratic Clinic</t>
  </si>
  <si>
    <t>Badanai Motors Limited</t>
  </si>
  <si>
    <t>Ms. Arja Myllymaa</t>
  </si>
  <si>
    <t>Jeanette Johnson</t>
  </si>
  <si>
    <t>Mrs. Brianna Johnson</t>
  </si>
  <si>
    <t>Mrs. Karen Henry</t>
  </si>
  <si>
    <t>Mr. Mark &amp; Mrs. Joy Moulson</t>
  </si>
  <si>
    <t>Mr. Reino Maenpaa</t>
  </si>
  <si>
    <t>Mr. John Trevisanutto</t>
  </si>
  <si>
    <t>Mr. David Bentley</t>
  </si>
  <si>
    <t>Ms. Karen St. Jacques</t>
  </si>
  <si>
    <t>Mrs. Susan Allen</t>
  </si>
  <si>
    <t>Ms. Tamara Wylie and Mr. Anthony Kukula</t>
  </si>
  <si>
    <t>Mr. Jon Nelson</t>
  </si>
  <si>
    <t>Ms Jodene Wylie</t>
  </si>
  <si>
    <t>Mr. John Jonassen</t>
  </si>
  <si>
    <t>Mrs. Riita Jonassen</t>
  </si>
  <si>
    <t>Mrs. Jennifer Coletti</t>
  </si>
  <si>
    <t>Ms. Karen Shalley</t>
  </si>
  <si>
    <t>Mrs. Ashlin Polkki</t>
  </si>
  <si>
    <t>Mr. Callum Johnson</t>
  </si>
  <si>
    <t>Mrs. Kristine Howson</t>
  </si>
  <si>
    <t>Mrs. Gloria Strilchuk</t>
  </si>
  <si>
    <t>Mr. Ron Peters</t>
  </si>
  <si>
    <t>Mrs. Pamela Fayrick</t>
  </si>
  <si>
    <t>Ms. Darlene Watts</t>
  </si>
  <si>
    <t>Ms. Meagan Jonassen</t>
  </si>
  <si>
    <t>Ms. Donna Mayry</t>
  </si>
  <si>
    <t>Mr. Jim Marostica</t>
  </si>
  <si>
    <t>Mrs. Susan Carlson</t>
  </si>
  <si>
    <t>Ms. Michelle Siegfried</t>
  </si>
  <si>
    <t>Mr. Craig &amp; Mrs. Sandra Willson</t>
  </si>
  <si>
    <t>Mr. Dan &amp; Mrs. Bobbi Tamblyn</t>
  </si>
  <si>
    <t>Mrs. Pina &amp; Mr. Sam Augruso</t>
  </si>
  <si>
    <t>Mr. Terry Andony</t>
  </si>
  <si>
    <t>Mrs. Mary Marrion</t>
  </si>
  <si>
    <t>Mr. Barry R. Streib and Ms. Charla Robinson</t>
  </si>
  <si>
    <t>Mr. Clifford J. Friesen</t>
  </si>
  <si>
    <t>Mr. Richard &amp; Mrs. Patricia Turcotte</t>
  </si>
  <si>
    <t>Ms. Ann Kossar and Mr. Lyle Jacomb</t>
  </si>
  <si>
    <t>Mr. Bryan Skrabek</t>
  </si>
  <si>
    <t>Ms. Carol A. Clements</t>
  </si>
  <si>
    <t>Mrs. Joyce Meyers</t>
  </si>
  <si>
    <t>Spruce Creek</t>
  </si>
  <si>
    <t>Mr. Stewart Gill</t>
  </si>
  <si>
    <t>Mr. Henry Pentney</t>
  </si>
  <si>
    <t>Spruce Creek Golf Course</t>
  </si>
  <si>
    <t>Mr. Bruce &amp; Mrs. Barbara Pentney</t>
  </si>
  <si>
    <t>Mrs. Sharon Parsons</t>
  </si>
  <si>
    <t>Ms. Laurie Pentney</t>
  </si>
  <si>
    <t>Mr. Alan Pentney</t>
  </si>
  <si>
    <t>Morson Women's Institute</t>
  </si>
  <si>
    <t>Mrs. Lily &amp; Mr. Glenn Anderson</t>
  </si>
  <si>
    <t>Ms. Patricia Peterson</t>
  </si>
  <si>
    <t>Ms Ellen Gaudry</t>
  </si>
  <si>
    <t>Ms. Carolyn K. Kreger</t>
  </si>
  <si>
    <t>Ms. Linda Almers</t>
  </si>
  <si>
    <t>Ms. Ellen Reid</t>
  </si>
  <si>
    <t>Mr. Doug Morrison</t>
  </si>
  <si>
    <t>Mrs. Louise &amp; Mr. Russell Pollard</t>
  </si>
  <si>
    <t>Mr. Trevor Slominslu</t>
  </si>
  <si>
    <t>Mr. Jerry Misialek</t>
  </si>
  <si>
    <t>Mr. Chris Misialek</t>
  </si>
  <si>
    <t>Mrs. Joni Gaudry</t>
  </si>
  <si>
    <t>Ms. Karen Sepers</t>
  </si>
  <si>
    <t>Ms. Chelley Martens</t>
  </si>
  <si>
    <t>Mrs. Kristal Vandenbrand</t>
  </si>
  <si>
    <t>Mr. Jack Eastman</t>
  </si>
  <si>
    <t>Ms. Janet Wenk</t>
  </si>
  <si>
    <t>Ms Carol Jenson</t>
  </si>
  <si>
    <t>Mrs. Rose Kreger</t>
  </si>
  <si>
    <t>Ms Barb Rousseau</t>
  </si>
  <si>
    <t>Ms. Melanie Murray</t>
  </si>
  <si>
    <t>Ms. Margaret Kreger</t>
  </si>
  <si>
    <t>Ms. Rhetta Schmitt</t>
  </si>
  <si>
    <t>Ms. Linda J. Kreger</t>
  </si>
  <si>
    <t>Ms. Laura Brick</t>
  </si>
  <si>
    <t>Ms. Allison Pollard</t>
  </si>
  <si>
    <t>Ms. Edna Vandersteen</t>
  </si>
  <si>
    <t>Mrs. Emily Anderson</t>
  </si>
  <si>
    <t>Mrs. Mona Stone</t>
  </si>
  <si>
    <t>Mrs. Sheila Mckenzie</t>
  </si>
  <si>
    <t>Mrs. Tammy Strachan</t>
  </si>
  <si>
    <t>Mr. Dennis Jodoin</t>
  </si>
  <si>
    <t>Mr. Danny Anderson</t>
  </si>
  <si>
    <t>Ms. Rosemary Laevans</t>
  </si>
  <si>
    <t>Mr. Daryl M. Gaudry</t>
  </si>
  <si>
    <t>Mr. Milton Kreger</t>
  </si>
  <si>
    <t>Spirit of Children</t>
  </si>
  <si>
    <t>Spirit Halloween</t>
  </si>
  <si>
    <t>SILVERFOX</t>
  </si>
  <si>
    <t>Ms. Kimberley Marcellus</t>
  </si>
  <si>
    <t>Mr. Scott McGinnis</t>
  </si>
  <si>
    <t>Silver Fox Squash Cancer Charity Tournament</t>
  </si>
  <si>
    <t>Mr. Donald J. Perry</t>
  </si>
  <si>
    <t>Mr. Charles Fisher</t>
  </si>
  <si>
    <t>Ms. Randi Eddy</t>
  </si>
  <si>
    <t>Ms. Lisa Polkowski</t>
  </si>
  <si>
    <t>An Nguyen</t>
  </si>
  <si>
    <t>Ms. Paulette Bel</t>
  </si>
  <si>
    <t>Ms. Erin Moran</t>
  </si>
  <si>
    <t>Mr. Bruce Marcellus</t>
  </si>
  <si>
    <t>Mr. Tim &amp; Ms. Bonnie Steinhoff</t>
  </si>
  <si>
    <t>Ms. Deb Marcellus</t>
  </si>
  <si>
    <t>Ms. Tara Bottan</t>
  </si>
  <si>
    <t>Mr. Jonathan Henderson</t>
  </si>
  <si>
    <t>Mr. Greg Troilo</t>
  </si>
  <si>
    <t>Mr. Jeff Werner</t>
  </si>
  <si>
    <t>Share a Heart</t>
  </si>
  <si>
    <t>Grower Direct Fresh Cut Flowers Thunder Bay</t>
  </si>
  <si>
    <t>Share a Heart Fundraiser</t>
  </si>
  <si>
    <t>Sponsorship Fund</t>
  </si>
  <si>
    <t>Secret</t>
  </si>
  <si>
    <t>Dymaco</t>
  </si>
  <si>
    <t>Canadian Tire Associate Store</t>
  </si>
  <si>
    <t>Mrs. Shannon Burton</t>
  </si>
  <si>
    <t>Pierce Florcraft Ltd.</t>
  </si>
  <si>
    <t>Mr. Dane Hatton</t>
  </si>
  <si>
    <t>Mr. Dan Campbell</t>
  </si>
  <si>
    <t>Mr. Allan &amp; Mrs. Lisa Mihalcin</t>
  </si>
  <si>
    <t>Mr. Kyle &amp; Mrs. Melany Shaen</t>
  </si>
  <si>
    <t>Mr. Shawn &amp; Mrs. Jennifer Kunnas</t>
  </si>
  <si>
    <t>Mr. Landon Maunula</t>
  </si>
  <si>
    <t>Mr. Kevin French</t>
  </si>
  <si>
    <t>Mark Craig</t>
  </si>
  <si>
    <t>Connor Remus Photography</t>
  </si>
  <si>
    <t>Secret Supper Series - non receiptable</t>
  </si>
  <si>
    <t>Mr. Chris Logan</t>
  </si>
  <si>
    <t>Jones Insurance</t>
  </si>
  <si>
    <t>Mr. Wayne &amp; Mrs. Kelly Maunula</t>
  </si>
  <si>
    <t>Mr. Tyler Dolcetti</t>
  </si>
  <si>
    <t>Mr. Bruno &amp; Mrs. Ann Niederer</t>
  </si>
  <si>
    <t>Swartz Fine Fashions</t>
  </si>
  <si>
    <t>Ms. Christine Lannon</t>
  </si>
  <si>
    <t>Mr. Greg Jarvis</t>
  </si>
  <si>
    <t>Ms Christine Lannon</t>
  </si>
  <si>
    <t>Auto Home Paints</t>
  </si>
  <si>
    <t>Mr. Sean Davies</t>
  </si>
  <si>
    <t>Mr. Paul &amp; Mrs. Sherry Manary</t>
  </si>
  <si>
    <t>Mr. Andrew Lindstrom</t>
  </si>
  <si>
    <t>SAHB2023</t>
  </si>
  <si>
    <t>Vaillant Florists</t>
  </si>
  <si>
    <t>SAHB2019</t>
  </si>
  <si>
    <t>Rita B Mem Pool</t>
  </si>
  <si>
    <t>Benevolent and Protective Order of Elks Lodge 82</t>
  </si>
  <si>
    <t>Queens</t>
  </si>
  <si>
    <t>Dr. Jennifer Lawson</t>
  </si>
  <si>
    <t>Lucy LeBlanc</t>
  </si>
  <si>
    <t>Ms. Jennifer Lible</t>
  </si>
  <si>
    <t>Mrs. Victoria Racco</t>
  </si>
  <si>
    <t>Mr. Barry Caland</t>
  </si>
  <si>
    <t>Queens Fight Cancer</t>
  </si>
  <si>
    <t>Mrs. Shawna  Hymers</t>
  </si>
  <si>
    <t>Laura Mercer</t>
  </si>
  <si>
    <t>Ms. Amy Dragan</t>
  </si>
  <si>
    <t>MRFD 2026</t>
  </si>
  <si>
    <t>MRFD 2025</t>
  </si>
  <si>
    <t>Victoriaville Physiotherapy Centre</t>
  </si>
  <si>
    <t>Kent's Towing &amp; Recovery</t>
  </si>
  <si>
    <t>Mr. Richard Spooner</t>
  </si>
  <si>
    <t>Mrs. Violet Schincariol</t>
  </si>
  <si>
    <t>Mrs. Everly Schincariol</t>
  </si>
  <si>
    <t>Mr. Robert &amp; Mrs. Debbie Dowswell</t>
  </si>
  <si>
    <t>Mr. Rick Dowswell</t>
  </si>
  <si>
    <t>Ms. Judy Stuart</t>
  </si>
  <si>
    <t>Ms. Denise Guitard</t>
  </si>
  <si>
    <t>Mr. Randy Munn</t>
  </si>
  <si>
    <t>Mr. Bill Hart</t>
  </si>
  <si>
    <t>Mrs. Margaret Franklin</t>
  </si>
  <si>
    <t>Motorcycle Ride for Dad Event Record</t>
  </si>
  <si>
    <t>Ms. Cathy Venasky</t>
  </si>
  <si>
    <t>Ms. Brenda Orr</t>
  </si>
  <si>
    <t>Mr. Pasquale &amp; Mrs. Sylvianne Mauro</t>
  </si>
  <si>
    <t>Mr. Richard Melnychuk</t>
  </si>
  <si>
    <t>Hood Equipment Canada Inc.</t>
  </si>
  <si>
    <t>Mr. Rick Wilen</t>
  </si>
  <si>
    <t>Ms. Carol Townson</t>
  </si>
  <si>
    <t>Mr. Jeff Jenner</t>
  </si>
  <si>
    <t>Mr. Patrick Lockert</t>
  </si>
  <si>
    <t>Ms. Donna Hunt</t>
  </si>
  <si>
    <t>Mr. Wayne Doucet</t>
  </si>
  <si>
    <t>Mr. Tom Babula</t>
  </si>
  <si>
    <t>Mr. Michael Blair</t>
  </si>
  <si>
    <t>Mr. Murray Hawryluk</t>
  </si>
  <si>
    <t>Mr. Gerald Tempelman</t>
  </si>
  <si>
    <t>Mr. Parker Locke</t>
  </si>
  <si>
    <t>Mr. Albert Breukelman</t>
  </si>
  <si>
    <t>Mr. Brady Browne</t>
  </si>
  <si>
    <t>Mr. Peter Muller</t>
  </si>
  <si>
    <t>Mr. Frank Smale</t>
  </si>
  <si>
    <t>Mr. Bill &amp; Mrs. Joanne Atwood</t>
  </si>
  <si>
    <t>Mr. Connor Tallon</t>
  </si>
  <si>
    <t>Mr. Richard Vignuda</t>
  </si>
  <si>
    <t>Mr. Monty Ransome</t>
  </si>
  <si>
    <t>Mr. Gerald &amp; Mrs. Nadeen Breukelman</t>
  </si>
  <si>
    <t>Mr. Rick Breuhelman</t>
  </si>
  <si>
    <t>Mr. Marty Rajala</t>
  </si>
  <si>
    <t>Oliver Paipoonge Heritage Park</t>
  </si>
  <si>
    <t>Tbaytel</t>
  </si>
  <si>
    <t>Mrs. Dawn Powell</t>
  </si>
  <si>
    <t>Rod Corbett</t>
  </si>
  <si>
    <t>Jenn Wuola</t>
  </si>
  <si>
    <t>Mr. Kevin Roul</t>
  </si>
  <si>
    <t>Mr. Paul Scott</t>
  </si>
  <si>
    <t>Ms. Jennifer Tavares</t>
  </si>
  <si>
    <t>Ms. Suzanne Dubois</t>
  </si>
  <si>
    <t>Mr. Arthur Ciddio</t>
  </si>
  <si>
    <t>Mr. Craig &amp; Mrs. Shirley Urquhart</t>
  </si>
  <si>
    <t>Mr. John Aiken</t>
  </si>
  <si>
    <t>Ms. Lori Cook</t>
  </si>
  <si>
    <t>Mr. Tim Lee</t>
  </si>
  <si>
    <t>Mr. Mike Doromko</t>
  </si>
  <si>
    <t>Mrs. Charlene &amp; Mr. Don Wolframe</t>
  </si>
  <si>
    <t>Mrs. Dori Kopechanski</t>
  </si>
  <si>
    <t>Mrs. Renee Dewar</t>
  </si>
  <si>
    <t>Ms. Ada Aceti</t>
  </si>
  <si>
    <t>Mr. Ryan King</t>
  </si>
  <si>
    <t>Mr. Nathanial Izzo</t>
  </si>
  <si>
    <t>Ms Shauna Wismer</t>
  </si>
  <si>
    <t>Mr. Joseph Pascuzzo</t>
  </si>
  <si>
    <t>Christian Mustapic</t>
  </si>
  <si>
    <t>Mr. Danny Tudorachi</t>
  </si>
  <si>
    <t>Mr. Rodney Miller</t>
  </si>
  <si>
    <t>Dawna Watts</t>
  </si>
  <si>
    <t>Mr. David King</t>
  </si>
  <si>
    <t>Ms Lia Parry</t>
  </si>
  <si>
    <t>Mr. Ken Boshcoff</t>
  </si>
  <si>
    <t>Mr. Alfredo &amp; Mrs. Kasey Etreni</t>
  </si>
  <si>
    <t>Mr. and Mrs. Dale Hupe</t>
  </si>
  <si>
    <t>P. Lindsey</t>
  </si>
  <si>
    <t>Mr. Therin Watson</t>
  </si>
  <si>
    <t>Bev Werbowy</t>
  </si>
  <si>
    <t>Ms Roxanne Brecka</t>
  </si>
  <si>
    <t>Ms Andrea Schubert</t>
  </si>
  <si>
    <t>Ms. Cindy Kaplanis</t>
  </si>
  <si>
    <t>Mrs. Karen Wattman</t>
  </si>
  <si>
    <t>Dr. Stephen &amp; Mrs. Maureen Adams</t>
  </si>
  <si>
    <t>Mrs. Kathy Pettit</t>
  </si>
  <si>
    <t>Ms Kristy Hintz</t>
  </si>
  <si>
    <t>Ms. Debra Niva</t>
  </si>
  <si>
    <t>Mrs. Brittany McCulloch</t>
  </si>
  <si>
    <t>Nick Kopot</t>
  </si>
  <si>
    <t>Ms. Fiona Buchan</t>
  </si>
  <si>
    <t>Ms. Letizia Tremonti</t>
  </si>
  <si>
    <t>Mr. Darrell Mozell</t>
  </si>
  <si>
    <t>Mrs. Karen &amp; Mr. Steve Walford</t>
  </si>
  <si>
    <t>Mr. Roberto Mancuso</t>
  </si>
  <si>
    <t>Mr. David Gingerich</t>
  </si>
  <si>
    <t>Ms. Kim Morgan</t>
  </si>
  <si>
    <t>Mrs. Marnie R</t>
  </si>
  <si>
    <t>Ms. Shelley Dubois</t>
  </si>
  <si>
    <t>Mr. Ben Curtis</t>
  </si>
  <si>
    <t>Mr. Darren Manion</t>
  </si>
  <si>
    <t>Ms Stephanie Martyniuk</t>
  </si>
  <si>
    <t>Ms. Emily Drouin</t>
  </si>
  <si>
    <t>Mr. Bradley Martin</t>
  </si>
  <si>
    <t>Mr. Marc Plante</t>
  </si>
  <si>
    <t>Mrs. Colleen Eager</t>
  </si>
  <si>
    <t>Mrs. Elizabeth Blake</t>
  </si>
  <si>
    <t>Mr. Arthur Dupuis</t>
  </si>
  <si>
    <t>Ms. Paula Bentz</t>
  </si>
  <si>
    <t>Mrs. Laura-Nanna Lohkamp</t>
  </si>
  <si>
    <t>Ms. Amanda Sneddon</t>
  </si>
  <si>
    <t>Mr. Derek Wolframe</t>
  </si>
  <si>
    <t>Mr. Terry &amp; Ms. Elizabeth Harms</t>
  </si>
  <si>
    <t>Mitchell Zemanek</t>
  </si>
  <si>
    <t>Mr. Joshua Wilson</t>
  </si>
  <si>
    <t>Mr. Tim &amp; Mrs. Marion Biloski</t>
  </si>
  <si>
    <t>Jessica Macsemchuk</t>
  </si>
  <si>
    <t>Ms. Monique Young</t>
  </si>
  <si>
    <t>Ms. Mandy Craig</t>
  </si>
  <si>
    <t>Mrs. Michelle &amp; Mr. Marcel Tempelman</t>
  </si>
  <si>
    <t>Mrs. Joan Esquega</t>
  </si>
  <si>
    <t>Mr. Shawn Fitzgerald</t>
  </si>
  <si>
    <t>Mrs. Linda Vellinga</t>
  </si>
  <si>
    <t>Mr. Robert &amp; Mrs. Johanna Kavanagh</t>
  </si>
  <si>
    <t>Harvey Packulak</t>
  </si>
  <si>
    <t>David Beck</t>
  </si>
  <si>
    <t>Kat Ripa</t>
  </si>
  <si>
    <t>Diane Quintas</t>
  </si>
  <si>
    <t>Ms Malinda Oster</t>
  </si>
  <si>
    <t>Marissa Wessner</t>
  </si>
  <si>
    <t>Mr. Bryan Campbell</t>
  </si>
  <si>
    <t>Mr. Jeff Peplinski</t>
  </si>
  <si>
    <t>Mr. Paul Pepe</t>
  </si>
  <si>
    <t>Mr. John &amp; Mrs. Diane Hill</t>
  </si>
  <si>
    <t>Mr. Scott Knudsen</t>
  </si>
  <si>
    <t>Mr. Brian Hudson</t>
  </si>
  <si>
    <t>Thunder Bay Police Association</t>
  </si>
  <si>
    <t>Mr. Frank &amp; Mrs. Lori-Ann Carpino</t>
  </si>
  <si>
    <t>Mrs. Cheyenne O'Dette</t>
  </si>
  <si>
    <t>Mr. Don Grant &amp; Family</t>
  </si>
  <si>
    <t>Mr. Arto &amp; Mrs. Judith Pouru</t>
  </si>
  <si>
    <t>Dr. Jon &amp; Dr. Bonnie Johnsen</t>
  </si>
  <si>
    <t>Mr. Brent Boyko</t>
  </si>
  <si>
    <t>Harrison Howes</t>
  </si>
  <si>
    <t>Mr. Wesley McCoy</t>
  </si>
  <si>
    <t>Reza Askari</t>
  </si>
  <si>
    <t>Mr. Neil MacDonald</t>
  </si>
  <si>
    <t>Mr. Lucas Lintunen</t>
  </si>
  <si>
    <t>Mrs. Nancy King</t>
  </si>
  <si>
    <t>Mr. Larry Schincariol</t>
  </si>
  <si>
    <t>Mr. John Hughes</t>
  </si>
  <si>
    <t>Mr. Bob Yule</t>
  </si>
  <si>
    <t>Ryan and Lisa Stachow</t>
  </si>
  <si>
    <t>Mr. and Mrs. Ron Barrie</t>
  </si>
  <si>
    <t>Mr. Jim Milington</t>
  </si>
  <si>
    <t>Mr. Myron M. Karpiuk</t>
  </si>
  <si>
    <t>Mrs. Karen Mcnicoll</t>
  </si>
  <si>
    <t>Mr. Chris Benwick</t>
  </si>
  <si>
    <t>Peter G. Arenburg</t>
  </si>
  <si>
    <t>Mr. James &amp; Mrs. Miranda Tomlinson</t>
  </si>
  <si>
    <t>Mr. and Ms. Verge</t>
  </si>
  <si>
    <t>Kris Stajkowski</t>
  </si>
  <si>
    <t>Mr. Frank Arella</t>
  </si>
  <si>
    <t>Ms. Joyce McLeod</t>
  </si>
  <si>
    <t>Dr. James &amp; Mrs. Kathy DiGiuseppe</t>
  </si>
  <si>
    <t>Mrs. Madeline Angus</t>
  </si>
  <si>
    <t>Dr. Amy Ylimaki</t>
  </si>
  <si>
    <t>Mrs. Jackie Wanzuk</t>
  </si>
  <si>
    <t>Mrs. Yvonne Homer</t>
  </si>
  <si>
    <t>Ms. Lois Pearl</t>
  </si>
  <si>
    <t>Diane MacKay</t>
  </si>
  <si>
    <t>Mr. David A. &amp; Mrs. Debbie Restoule</t>
  </si>
  <si>
    <t>Ms. Kim Andres</t>
  </si>
  <si>
    <t>Mrs. Maria Pascuzzo</t>
  </si>
  <si>
    <t>Ms. Michelle Robinson</t>
  </si>
  <si>
    <t>Mr. Garry &amp; Mrs. Jo-Anne Robinson</t>
  </si>
  <si>
    <t>Ms. Carla Mose</t>
  </si>
  <si>
    <t>Ms. Karen Yawney</t>
  </si>
  <si>
    <t>Ms Kelsey DeRooy</t>
  </si>
  <si>
    <t>Mrs. Carole Winsor</t>
  </si>
  <si>
    <t>Mrs. Anna Pascuzzo</t>
  </si>
  <si>
    <t>Mr. Charles Wright</t>
  </si>
  <si>
    <t>Mr. Curtis Trotz</t>
  </si>
  <si>
    <t>Mr. Brandon Eckman</t>
  </si>
  <si>
    <t>Mr. Josh Liggins</t>
  </si>
  <si>
    <t>Ms. Carrie Pettit</t>
  </si>
  <si>
    <t>Mr. Renault Franklin</t>
  </si>
  <si>
    <t>Ms. Lindsay Smith</t>
  </si>
  <si>
    <t>Mr. and Ms. Conrad Hagstrom</t>
  </si>
  <si>
    <t>Mr. Glen Malloch</t>
  </si>
  <si>
    <t>Mr. Norman Tempelman</t>
  </si>
  <si>
    <t>ORLA MINING  - Musselwhite</t>
  </si>
  <si>
    <t>Ms. Julia Kornder</t>
  </si>
  <si>
    <t>Mr. Jason Veltri</t>
  </si>
  <si>
    <t>Ms. Francine Buckland</t>
  </si>
  <si>
    <t>Mr. Joe Spina</t>
  </si>
  <si>
    <t>Mr. Lawson Yatkowsky</t>
  </si>
  <si>
    <t>Mrs. Janet S. McCutchon</t>
  </si>
  <si>
    <t>Mr. Darren Braun</t>
  </si>
  <si>
    <t>Ms. Jane Saunders</t>
  </si>
  <si>
    <t>Mrs. Adena &amp; Mr. Rob Hicklin</t>
  </si>
  <si>
    <t>Mr. Les Pshyk</t>
  </si>
  <si>
    <t>Mr. Charles Brown</t>
  </si>
  <si>
    <t>Rosalia Martin</t>
  </si>
  <si>
    <t>Ms. Lori McOrmond</t>
  </si>
  <si>
    <t>Vic Daniele</t>
  </si>
  <si>
    <t>Mrs. Cheryl Podlewski</t>
  </si>
  <si>
    <t>Ms. Jodi Podlewski</t>
  </si>
  <si>
    <t>Ms. Lisa Posmituk</t>
  </si>
  <si>
    <t>Jamie Dixon</t>
  </si>
  <si>
    <t>Sari Jamsa</t>
  </si>
  <si>
    <t>Ms. Sherry Dubois</t>
  </si>
  <si>
    <t>Mr. Hotse Dejong</t>
  </si>
  <si>
    <t>Mrs. Margie Uurainen</t>
  </si>
  <si>
    <t>Mr. Greg &amp; Mrs. Lisa Stein</t>
  </si>
  <si>
    <t>Mr. Ryan Penner</t>
  </si>
  <si>
    <t>Mr. Andrew  Sinclair</t>
  </si>
  <si>
    <t>Ms. Heather Beck</t>
  </si>
  <si>
    <t>Mrs. Jennifer Kadolph</t>
  </si>
  <si>
    <t>Nathan Benvenuto</t>
  </si>
  <si>
    <t>Ms. Lisa Barker</t>
  </si>
  <si>
    <t>Mrs. Joanne Picard</t>
  </si>
  <si>
    <t>Mr. David Jonczyk</t>
  </si>
  <si>
    <t>Mr. Lance Lybarger</t>
  </si>
  <si>
    <t>Mr. and Mrs. Kevin Gerrish</t>
  </si>
  <si>
    <t>Mr. Dave Stevens</t>
  </si>
  <si>
    <t>Mr. Scott Hopkins</t>
  </si>
  <si>
    <t>John Weisgerber</t>
  </si>
  <si>
    <t>Mr. Don Pelletier</t>
  </si>
  <si>
    <t>Ms. Devon M. Kainulainen</t>
  </si>
  <si>
    <t>Ms. Elizabeth Krupa</t>
  </si>
  <si>
    <t>Mrs. Charlene Hansen</t>
  </si>
  <si>
    <t>Mr. Jason Sparling</t>
  </si>
  <si>
    <t>Mr. Jonathon Comuzzi</t>
  </si>
  <si>
    <t>Mr. Andrew Crupi</t>
  </si>
  <si>
    <t>Mrs. Jayne Roberts</t>
  </si>
  <si>
    <t>Mr. Norm Weiss</t>
  </si>
  <si>
    <t>Ms. Colleen Henny</t>
  </si>
  <si>
    <t>Mrs. Julie Bova</t>
  </si>
  <si>
    <t>Mrs. Daelle Pediny</t>
  </si>
  <si>
    <t>Ms. Tina Vieira</t>
  </si>
  <si>
    <t>Dr. Michael Wilson</t>
  </si>
  <si>
    <t>Mrs. Maia Wilson</t>
  </si>
  <si>
    <t>Mrs. Jennifer Mikus</t>
  </si>
  <si>
    <t>Mrs. Jackie R.</t>
  </si>
  <si>
    <t>Mrs. Giselle Carrasqueiras</t>
  </si>
  <si>
    <t>Ms. Patricia Piaskowski</t>
  </si>
  <si>
    <t>Mrs. Andrea Richards</t>
  </si>
  <si>
    <t>Mr. Ian Bannatyne</t>
  </si>
  <si>
    <t>Ms. Leslie McEachern</t>
  </si>
  <si>
    <t>Ms. Natalie Binguis</t>
  </si>
  <si>
    <t>Scott Dougall</t>
  </si>
  <si>
    <t>Mr. Brian Tempelman</t>
  </si>
  <si>
    <t>Ms. Janice Piper</t>
  </si>
  <si>
    <t>Mr. Joel Kirsh</t>
  </si>
  <si>
    <t>Ms. Shelley Pyra</t>
  </si>
  <si>
    <t>Mr. Brian Varey</t>
  </si>
  <si>
    <t>Mr. Mike Foreman</t>
  </si>
  <si>
    <t>Italian Society of Port Arthur</t>
  </si>
  <si>
    <t>Ms. Heather Holland</t>
  </si>
  <si>
    <t>Ms. Karen Furioso</t>
  </si>
  <si>
    <t>Mr. and Mrs. Doug Belanger</t>
  </si>
  <si>
    <t>Mr. Dominic &amp; Mrs. Angela Fimognari</t>
  </si>
  <si>
    <t>Ms. Jen Rissanen</t>
  </si>
  <si>
    <t>Rina Mavar</t>
  </si>
  <si>
    <t>Dr. Jonathon &amp; Mrs. Rachelle Pawliuk</t>
  </si>
  <si>
    <t>Ms. Stephanie V. Pleson</t>
  </si>
  <si>
    <t>Mrs. Victoria Chapman-Kopot</t>
  </si>
  <si>
    <t>Mrs. Jasmine Kopot</t>
  </si>
  <si>
    <t>Mr. Bob &amp; Mrs. Joanne Tomlinson</t>
  </si>
  <si>
    <t>Ms. Susan Perrault</t>
  </si>
  <si>
    <t>Mr. Blaine &amp; Mrs. Janice Hill</t>
  </si>
  <si>
    <t>Mr. Vinay &amp; Mrs. Anna Kapoor</t>
  </si>
  <si>
    <t>Mr. Mason McCauley</t>
  </si>
  <si>
    <t>Mr. Terry Larsen</t>
  </si>
  <si>
    <t>Ms. Nancy L. Armstrong</t>
  </si>
  <si>
    <t>Mr. Nathan Mines</t>
  </si>
  <si>
    <t>Mr. Anthony Lento &amp; Family</t>
  </si>
  <si>
    <t>Mr. Clarence O' Brien</t>
  </si>
  <si>
    <t>Mr. Ross Dykes</t>
  </si>
  <si>
    <t>Mr. Brent Travish</t>
  </si>
  <si>
    <t>Mr. Mark McCann</t>
  </si>
  <si>
    <t>Mr. Naji Mounayer</t>
  </si>
  <si>
    <t>Mr. Ted Ciotucha</t>
  </si>
  <si>
    <t>Mr. David &amp; Mrs. Laurie Henderson</t>
  </si>
  <si>
    <t>Mr. James &amp; Mrs. Brenda Collette</t>
  </si>
  <si>
    <t>Cecil Blair</t>
  </si>
  <si>
    <t>Mr. Danny Langer</t>
  </si>
  <si>
    <t>Mr. John Angel</t>
  </si>
  <si>
    <t>David Sawchuk</t>
  </si>
  <si>
    <t>Mr. Ervin &amp; Mrs. Karen Sundell</t>
  </si>
  <si>
    <t>Mr. Glenn &amp; Mrs. Lori Malo</t>
  </si>
  <si>
    <t>Jackie Kerr</t>
  </si>
  <si>
    <t>Mr. Mike Lamers &amp; Ms. Nancy Lang</t>
  </si>
  <si>
    <t>Mr. Bob Dodds</t>
  </si>
  <si>
    <t>Mr. Colin McDonald</t>
  </si>
  <si>
    <t>Mr. Travis Muller</t>
  </si>
  <si>
    <t>Mr. Stan Glass</t>
  </si>
  <si>
    <t>Mr. Dirk &amp; Mrs. Rhonda Vander Zwaag</t>
  </si>
  <si>
    <t>Ron Jaspers</t>
  </si>
  <si>
    <t>Ms. Charlotte McDonald</t>
  </si>
  <si>
    <t>Mr. Rob McDonald</t>
  </si>
  <si>
    <t>Mr. Darryl Galloway</t>
  </si>
  <si>
    <t>Mr. Brian &amp; Mrs. Deborah Dika</t>
  </si>
  <si>
    <t>Mr. Robert Tenhave</t>
  </si>
  <si>
    <t>Mr. Rolfe TenHave</t>
  </si>
  <si>
    <t>Mr. Matthew Pascuzzo</t>
  </si>
  <si>
    <t>Mr. Darren Eberl</t>
  </si>
  <si>
    <t>Mr. Brian &amp; Mrs. Lori Della Vedova</t>
  </si>
  <si>
    <t>Mr. Paul Jasuira &amp; Dr. Arlene Capricci</t>
  </si>
  <si>
    <t>Pat and Ann Spina</t>
  </si>
  <si>
    <t>Ms. Paula Donylyk and Mr. Douglas D. Heath</t>
  </si>
  <si>
    <t>Mr. Tullio &amp; Mrs. Alma Provenzano</t>
  </si>
  <si>
    <t>Mr. Frank &amp; Mrs. Anna Pascuzzo</t>
  </si>
  <si>
    <t>Ms. Jillian Childs</t>
  </si>
  <si>
    <t>Ms Jillian Gribben</t>
  </si>
  <si>
    <t>Brunina Morrow</t>
  </si>
  <si>
    <t>Mrs. Beverly &amp; Mr. Joe Maronese</t>
  </si>
  <si>
    <t>Mr. John Iwasenko</t>
  </si>
  <si>
    <t>Ms. Rose Drewek</t>
  </si>
  <si>
    <t>Ms. Linda Burella</t>
  </si>
  <si>
    <t>Ms. Penny Kahramanos</t>
  </si>
  <si>
    <t>Mr. Zdravko Kotarac</t>
  </si>
  <si>
    <t>Mr. Leo Boz</t>
  </si>
  <si>
    <t>Mr. James O'Leary</t>
  </si>
  <si>
    <t>Mr. Mika Vanhapelto</t>
  </si>
  <si>
    <t>Mrs. Tammy Dione</t>
  </si>
  <si>
    <t>Mrs. Crystal MacLaurin</t>
  </si>
  <si>
    <t>Mr. Ryan Okerlund</t>
  </si>
  <si>
    <t>Mrs. Fay Steadwell</t>
  </si>
  <si>
    <t>Mrs. Halle Tyrrell</t>
  </si>
  <si>
    <t>Mrs. Gina Feddery</t>
  </si>
  <si>
    <t>Ms. Aimee-lyn Morgan</t>
  </si>
  <si>
    <t>Ms Linda Bannon</t>
  </si>
  <si>
    <t>Mrs. Helen &amp; Mr. Gerry Kamphof</t>
  </si>
  <si>
    <t>Mr. Todd Kiviaho</t>
  </si>
  <si>
    <t>Mr. Don &amp; Mrs. Jane McLeod</t>
  </si>
  <si>
    <t>Mr. Jason Carr</t>
  </si>
  <si>
    <t>Mr. Mark Schincariol</t>
  </si>
  <si>
    <t>Mr. Willian B. Senkrow</t>
  </si>
  <si>
    <t>Mr. Willy Tempelman</t>
  </si>
  <si>
    <t>Mrs. Meaghan Labine</t>
  </si>
  <si>
    <t>Mr. Tom Roffey</t>
  </si>
  <si>
    <t>Mr. Dennis Leblanc</t>
  </si>
  <si>
    <t>Mr. Enzo Di Gregorio</t>
  </si>
  <si>
    <t>Mr. Albert Brule</t>
  </si>
  <si>
    <t>Ms. Lucy Finelli</t>
  </si>
  <si>
    <t>Mr. Jordan Britt</t>
  </si>
  <si>
    <t>Ms. Lori Piccolo</t>
  </si>
  <si>
    <t>Mr. Paul &amp; Mrs. Stacy Greenwood</t>
  </si>
  <si>
    <t>Ms. Laurie Matychuk</t>
  </si>
  <si>
    <t>Mr. John &amp; Mrs. Teresa Tesolin</t>
  </si>
  <si>
    <t>Mr. Stephen &amp; Mrs. Lisa Wojciechowski</t>
  </si>
  <si>
    <t>Mrs. Joan Frederick</t>
  </si>
  <si>
    <t>Mr. Blair &amp; Mrs. Donna Smith</t>
  </si>
  <si>
    <t>Mr. Rob Zuback</t>
  </si>
  <si>
    <t>Mrs. Donna Newhouse</t>
  </si>
  <si>
    <t>Mrs. Maria Lanni</t>
  </si>
  <si>
    <t>Mr. George &amp; Mrs. Cathy Cava</t>
  </si>
  <si>
    <t>Mrs. Doris Pugh</t>
  </si>
  <si>
    <t>Mr. John Bryan Gardiner</t>
  </si>
  <si>
    <t>Mrs. Tarja Knudsen</t>
  </si>
  <si>
    <t>Mr. Keith MacMillan</t>
  </si>
  <si>
    <t>Mr. Bernard Van Der Elst</t>
  </si>
  <si>
    <t>Mr. Tim Hollinger</t>
  </si>
  <si>
    <t>Ms. Kerry Desjardins</t>
  </si>
  <si>
    <t>Mrs. Terri Harmer</t>
  </si>
  <si>
    <t>Mr. Michael &amp; Mrs. Kristie Kuper</t>
  </si>
  <si>
    <t>Mr. Carlo Cappello</t>
  </si>
  <si>
    <t>Kara Wilson</t>
  </si>
  <si>
    <t>Mr. Matthew Mustapic</t>
  </si>
  <si>
    <t>Mr. John Haggarty</t>
  </si>
  <si>
    <t>Mrs. Frances Chiarelli</t>
  </si>
  <si>
    <t>Mrs. Aliina M. Reccia</t>
  </si>
  <si>
    <t>Ms. Kathy Martin</t>
  </si>
  <si>
    <t>Mr. David Tremonti</t>
  </si>
  <si>
    <t>Lindsay &amp; Lenore Doran-Bonk</t>
  </si>
  <si>
    <t>Mr. Gary &amp; Mrs. Sharon Hoogsteen</t>
  </si>
  <si>
    <t>Mrs. Martina Heringer</t>
  </si>
  <si>
    <t>Ms. Sasha Mannila and Mr. Marshall John</t>
  </si>
  <si>
    <t>Mr. Drew Childs</t>
  </si>
  <si>
    <t>Mr. Peter Gobeil</t>
  </si>
  <si>
    <t>Mr. Wayne Boulter</t>
  </si>
  <si>
    <t>Mrs. Courtney Van Horne</t>
  </si>
  <si>
    <t>Mr. Jeff Cornell</t>
  </si>
  <si>
    <t>Mr. Howard Blacker</t>
  </si>
  <si>
    <t>Mr. Stephen Browne</t>
  </si>
  <si>
    <t>Mr. Christopher &amp; Mrs. Laurie Millington</t>
  </si>
  <si>
    <t>Ms. Leona Merrifield</t>
  </si>
  <si>
    <t>Mr. Costanzo Orsini</t>
  </si>
  <si>
    <t>Ms. Rosemary Zuliani</t>
  </si>
  <si>
    <t>Mrs. Susan Malo</t>
  </si>
  <si>
    <t>Ms. Catherine Varey</t>
  </si>
  <si>
    <t>Mr. Gregg &amp; Mrs. Debbie Kendall</t>
  </si>
  <si>
    <t>Ms. Diane Delin</t>
  </si>
  <si>
    <t>Mrs. Kerry Goodwin</t>
  </si>
  <si>
    <t>Ms. Shelly Hutchinson</t>
  </si>
  <si>
    <t>Ms. Pam Dunn</t>
  </si>
  <si>
    <t>Mr. Randy &amp; Mrs. Teresa Bye</t>
  </si>
  <si>
    <t>Major Steve Chivers-Wilson</t>
  </si>
  <si>
    <t>Mr. Michael &amp; Mrs. Catherine Golding</t>
  </si>
  <si>
    <t>Mrs. Wanda &amp; Mr. Randy Major</t>
  </si>
  <si>
    <t>Mr. Jean-Yves Gervais</t>
  </si>
  <si>
    <t>Ms. Coralee McGeachy</t>
  </si>
  <si>
    <t>Mr. Bart Gajda</t>
  </si>
  <si>
    <t>Ms Bonnie Cassalman</t>
  </si>
  <si>
    <t>Ms. Kelly Campbell</t>
  </si>
  <si>
    <t>Mr. David &amp; Mrs. Jan Moscall</t>
  </si>
  <si>
    <t>Mr. Adam Morton</t>
  </si>
  <si>
    <t>Mrs. Dana Vacek</t>
  </si>
  <si>
    <t>Mr. Timothy Griffin</t>
  </si>
  <si>
    <t>Mr. John Makkinga</t>
  </si>
  <si>
    <t>Mr. Derric &amp; Mrs. Terry Tempelman</t>
  </si>
  <si>
    <t>Mrs. Mary Mavar</t>
  </si>
  <si>
    <t>Mrs. Karli Wright</t>
  </si>
  <si>
    <t>Ms. Mary Jane Scott</t>
  </si>
  <si>
    <t>Mr. Michael Lemieux</t>
  </si>
  <si>
    <t>Mr. David &amp; Mrs. Bev Mauro</t>
  </si>
  <si>
    <t>Mr. Bryson DesRosiers</t>
  </si>
  <si>
    <t>Mr. Russel &amp; Mrs. Carla Aiken &amp; Family</t>
  </si>
  <si>
    <t>Mr. James Luck</t>
  </si>
  <si>
    <t>Ms. Kari Miller</t>
  </si>
  <si>
    <t>Mrs. Peggy Duchene</t>
  </si>
  <si>
    <t>Mr. Terry Favel-Lagowski</t>
  </si>
  <si>
    <t>Excalibur Motorcycle Works Limited</t>
  </si>
  <si>
    <t>Mr. Rob Glena</t>
  </si>
  <si>
    <t>Ms. Linda Bruins</t>
  </si>
  <si>
    <t>Mr. Frank Provensano</t>
  </si>
  <si>
    <t>Pat Rubenick</t>
  </si>
  <si>
    <t>Mr. Chuck Currie</t>
  </si>
  <si>
    <t>Mrs. Charlene Pinner</t>
  </si>
  <si>
    <t>Mr. Gregory &amp; Mrs. Allison Sargent</t>
  </si>
  <si>
    <t>Mr. Eric Bridge</t>
  </si>
  <si>
    <t>Mr. Ryan Shalley</t>
  </si>
  <si>
    <t>Manish Agarwal</t>
  </si>
  <si>
    <t>Mr. Rick Mills</t>
  </si>
  <si>
    <t>Jouni Lintunen</t>
  </si>
  <si>
    <t>Mrs. Vicky Miller</t>
  </si>
  <si>
    <t>Ms. Lila Davies</t>
  </si>
  <si>
    <t>Mrs. Suzan Cooper Rochon</t>
  </si>
  <si>
    <t>Ms. Cheryl Haapsaari</t>
  </si>
  <si>
    <t>Mr. Tony Prudori</t>
  </si>
  <si>
    <t>Mrs. Karen England</t>
  </si>
  <si>
    <t>Mr. Steve Lavery</t>
  </si>
  <si>
    <t>Mrs. Nathalie &amp; Mr. Michael Lamont</t>
  </si>
  <si>
    <t>Mr. Ron Okerlund</t>
  </si>
  <si>
    <t>Dr. Gerald &amp; Mrs. Jacqueline Smith</t>
  </si>
  <si>
    <t>Mrs. Allison &amp; Mr. Gregory Sargent</t>
  </si>
  <si>
    <t>Mr. Phil Davies</t>
  </si>
  <si>
    <t>Mr. David &amp; Mrs. Tammy Lake</t>
  </si>
  <si>
    <t>Brokerlink Inc.</t>
  </si>
  <si>
    <t>Mr. Gary Prosser</t>
  </si>
  <si>
    <t>Mr. Ernie &amp; Mrs. Lori Ukrainec</t>
  </si>
  <si>
    <t>Mr. Jonathan Soares</t>
  </si>
  <si>
    <t>Chris Holland</t>
  </si>
  <si>
    <t>Ms. Heather Pouru</t>
  </si>
  <si>
    <t>Mr. Brandon Law</t>
  </si>
  <si>
    <t>Mrs. Erika &amp; Mr. Charlie Renner</t>
  </si>
  <si>
    <t>Mrs. Ashley Collins</t>
  </si>
  <si>
    <t>Mr. Aaron Wise</t>
  </si>
  <si>
    <t>Mr. Francis &amp; Mrs. Luisa Veneruz</t>
  </si>
  <si>
    <t>Mr. Jay Knudsen</t>
  </si>
  <si>
    <t>Mr. James G. Campbell</t>
  </si>
  <si>
    <t>P. Nardi Holdings</t>
  </si>
  <si>
    <t>Sohi Holdings Inc</t>
  </si>
  <si>
    <t>Ms Angela Muzzi</t>
  </si>
  <si>
    <t>John Gavel Custom Manufacturing Ltd.</t>
  </si>
  <si>
    <t>Dave Goodman Automotive</t>
  </si>
  <si>
    <t>Ms Ann Magiskan</t>
  </si>
  <si>
    <t>Ms. Geraldine Chauvin</t>
  </si>
  <si>
    <t>Ms. Donna Insley</t>
  </si>
  <si>
    <t>Ms. Nancy Cameron</t>
  </si>
  <si>
    <t>Mr. Shawn Allen</t>
  </si>
  <si>
    <t>Mrs. Allison Berringer</t>
  </si>
  <si>
    <t>Ms. Shirley MacDonnell</t>
  </si>
  <si>
    <t>Mr. John Fresco</t>
  </si>
  <si>
    <t>Mr. Bryan Fresco</t>
  </si>
  <si>
    <t>Mr. Colin Sobey</t>
  </si>
  <si>
    <t>Ms. Alecia Nabigen</t>
  </si>
  <si>
    <t>Ms. Stephanie Wilson</t>
  </si>
  <si>
    <t>Ms. Chris Khnanisho</t>
  </si>
  <si>
    <t>Mr. Allan &amp; Mrs. Wendy Grant</t>
  </si>
  <si>
    <t>Mr. Tim Martin</t>
  </si>
  <si>
    <t>Ms. Ann Czepky &amp; Family</t>
  </si>
  <si>
    <t>Ms. Tracey Cambly</t>
  </si>
  <si>
    <t>Mr. Jarrett &amp; Mrs. Katie Hay</t>
  </si>
  <si>
    <t>Mr. Ted Deluca</t>
  </si>
  <si>
    <t>Ms. Shannon Frizzell</t>
  </si>
  <si>
    <t>Mr. Gord Crawford</t>
  </si>
  <si>
    <t>Mrs. Justine Tempelman</t>
  </si>
  <si>
    <t>Mr. Garry &amp; Mrs. Janis Barker</t>
  </si>
  <si>
    <t>Mr. Carlos Chan</t>
  </si>
  <si>
    <t>Mr. Dave &amp; Mrs. Diane Corner</t>
  </si>
  <si>
    <t>Mr. William &amp; Mrs. Carol Ann McLean</t>
  </si>
  <si>
    <t>Ms. Helen Trochimchuk</t>
  </si>
  <si>
    <t>Ms. Christine Morellato</t>
  </si>
  <si>
    <t>Mrs. Krista Bates</t>
  </si>
  <si>
    <t>Ms. Tiffany Boisvert</t>
  </si>
  <si>
    <t>Mr. Sivadanesh Koveerasingam</t>
  </si>
  <si>
    <t>Mrs. Jody Tsubouchi</t>
  </si>
  <si>
    <t>Mr. Robert Kozak</t>
  </si>
  <si>
    <t>Mrs. Bonnie Kozak</t>
  </si>
  <si>
    <t>Ms. Shelby Ernst</t>
  </si>
  <si>
    <t>Jay Pakrashi</t>
  </si>
  <si>
    <t>Ms. Jane-Ann McGull</t>
  </si>
  <si>
    <t>Mr. John Campbell</t>
  </si>
  <si>
    <t>Ms. Haley Broadbent</t>
  </si>
  <si>
    <t>Emo Feeds</t>
  </si>
  <si>
    <t>Mr. Anthony Visser</t>
  </si>
  <si>
    <t>Ed Kaun &amp; Sons Ltd.</t>
  </si>
  <si>
    <t>Mr. David &amp; Mrs. Kristine Kaemingh</t>
  </si>
  <si>
    <t>Mr. John Fuhrer</t>
  </si>
  <si>
    <t>Mr. Garrett Gamsby</t>
  </si>
  <si>
    <t>Mr. Martin Kreger</t>
  </si>
  <si>
    <t>Mr. Andrew Hartnell</t>
  </si>
  <si>
    <t>Barwick Service</t>
  </si>
  <si>
    <t>Ms. Caroline Sugawara</t>
  </si>
  <si>
    <t>Ms. Dianne Cote</t>
  </si>
  <si>
    <t>Mr. Brian &amp; Mrs. Lee Davis</t>
  </si>
  <si>
    <t>Ms. Linda Nicol</t>
  </si>
  <si>
    <t>Ms. Kimberly McNaughton</t>
  </si>
  <si>
    <t>Mr. Daniel A. Dampier</t>
  </si>
  <si>
    <t>Mrs. Johan &amp; Mr. Rod Vass</t>
  </si>
  <si>
    <t>Ms. Shelley Martyn</t>
  </si>
  <si>
    <t>Chris O'Shaughnassy</t>
  </si>
  <si>
    <t>Mr. Murray &amp; Mrs. Nancy Armstrong</t>
  </si>
  <si>
    <t>Mr. David &amp; Mrs. Ursula Oikonen</t>
  </si>
  <si>
    <t>Mr. Frank &amp; Mrs. Liisa Gatto</t>
  </si>
  <si>
    <t>Mr. Jim Foley</t>
  </si>
  <si>
    <t>Mr. Rod Gignac</t>
  </si>
  <si>
    <t>David G. Childs</t>
  </si>
  <si>
    <t>Mr. Joe &amp; Mrs. Elena Quaresima</t>
  </si>
  <si>
    <t>Mr. Jamie Stephen</t>
  </si>
  <si>
    <t>Mr. Theodore Scollie</t>
  </si>
  <si>
    <t>Mr. Michael &amp; Mrs. Joanna Power</t>
  </si>
  <si>
    <t>Mr. Adam Wiwcharyk</t>
  </si>
  <si>
    <t>Mr. John J. Ross</t>
  </si>
  <si>
    <t>Mrs. Sarah Savage</t>
  </si>
  <si>
    <t>Mr. Steve &amp; Mrs. Sonia Parry</t>
  </si>
  <si>
    <t>Mr. Ron &amp; Mrs. Charlotte Speziale</t>
  </si>
  <si>
    <t>Mr. Corey Lair</t>
  </si>
  <si>
    <t>Mr. Mitchell J. Romeo</t>
  </si>
  <si>
    <t>Mr. Silvio Di Gregorio</t>
  </si>
  <si>
    <t>Mr. Ron &amp; Mrs. Carol Giardetti</t>
  </si>
  <si>
    <t>Mr. Eric Lemay</t>
  </si>
  <si>
    <t>Mr. Rob Andreychuk</t>
  </si>
  <si>
    <t>Mr. William E. Wrighsell</t>
  </si>
  <si>
    <t>Alin Ursu</t>
  </si>
  <si>
    <t>Joanne Armstrong</t>
  </si>
  <si>
    <t>Mrs. Maria &amp; Mr. Dino Corsini</t>
  </si>
  <si>
    <t>Ms. Alexandra Mauro</t>
  </si>
  <si>
    <t>Mr. Carlo Porretta</t>
  </si>
  <si>
    <t>Mr. Albert Dicenso</t>
  </si>
  <si>
    <t>Mr. Mike Biasi</t>
  </si>
  <si>
    <t>Mrs. Lucy &amp; Mr. Doug Belanger</t>
  </si>
  <si>
    <t>Ms. Rob Frenette</t>
  </si>
  <si>
    <t>Mrs. Finella Grosso</t>
  </si>
  <si>
    <t>Mr. Geoff &amp; Mrs. Shannon Sullivan</t>
  </si>
  <si>
    <t>Mrs. Louanne Rioux</t>
  </si>
  <si>
    <t>Mrs. Susan Moore</t>
  </si>
  <si>
    <t>Balmoral Park Acura</t>
  </si>
  <si>
    <t>Mr. Mark Moland</t>
  </si>
  <si>
    <t>Mrs. Barb Strickland</t>
  </si>
  <si>
    <t>Mr. Rick Kunc</t>
  </si>
  <si>
    <t>The Honourable Patricia A. Hajdu</t>
  </si>
  <si>
    <t>Mr. Robert &amp; Mrs. Caroline Fanti</t>
  </si>
  <si>
    <t>Mr. Colin Daniels</t>
  </si>
  <si>
    <t>Mr. Walter Larsen</t>
  </si>
  <si>
    <t>Mr. David M. Rooney</t>
  </si>
  <si>
    <t>Mr. Grant Brodeur</t>
  </si>
  <si>
    <t>Mrs. Wendy &amp; Mr. David Hamlin</t>
  </si>
  <si>
    <t>Ms. Pam Drouin</t>
  </si>
  <si>
    <t>Ms. Claudio Morson</t>
  </si>
  <si>
    <t>Mr. Anthony &amp; Mrs. Cindy Bergamo</t>
  </si>
  <si>
    <t>Ms. Devin Speziale</t>
  </si>
  <si>
    <t>Mr. Jason Enns</t>
  </si>
  <si>
    <t>Mr. Richard &amp; Mrs. Marlene Koskiniemi</t>
  </si>
  <si>
    <t>Mr. Matt Rahn</t>
  </si>
  <si>
    <t>Mr. Peter A. Kuper</t>
  </si>
  <si>
    <t>Ms. Francesca Calabrese</t>
  </si>
  <si>
    <t>Mr. Frank &amp; Mrs. Kathryn Littlefield</t>
  </si>
  <si>
    <t>Mrs. Mitchell Bagdon</t>
  </si>
  <si>
    <t>Mr. Carson Smith</t>
  </si>
  <si>
    <t>Ms. Meaghan Wojciechowski</t>
  </si>
  <si>
    <t>Mrs. Judith Pouru</t>
  </si>
  <si>
    <t>Mrs. Kristen Pouru</t>
  </si>
  <si>
    <t>Mr. Eric Watson</t>
  </si>
  <si>
    <t>Mr. Joe Newhouse</t>
  </si>
  <si>
    <t>Mr. Jay Savage</t>
  </si>
  <si>
    <t>Mr. Ziad Miloud</t>
  </si>
  <si>
    <t>Mr. Joe E. Lockert</t>
  </si>
  <si>
    <t>Mr. Matt Deslor</t>
  </si>
  <si>
    <t>James Brown</t>
  </si>
  <si>
    <t>Mr. Mike Daigle</t>
  </si>
  <si>
    <t>Mr. Wayne Knapp</t>
  </si>
  <si>
    <t>Mr. Ryan Ojak</t>
  </si>
  <si>
    <t>Ms. Sharon Fults</t>
  </si>
  <si>
    <t>Mr. Clement Gascon</t>
  </si>
  <si>
    <t>Mr. Gary Duguid</t>
  </si>
  <si>
    <t>Mr. Brody C</t>
  </si>
  <si>
    <t>Ms. Viola Berlinquette</t>
  </si>
  <si>
    <t>Ms. Karen Beauchamp</t>
  </si>
  <si>
    <t>Mr. Pritam Lamb</t>
  </si>
  <si>
    <t>Mr. Kevin &amp; Mrs. Mary Holloway</t>
  </si>
  <si>
    <t>Mr. Roland &amp; Mrs. Judi Turner</t>
  </si>
  <si>
    <t>Ms. Donna Kaban</t>
  </si>
  <si>
    <t>Tammy Reynolds</t>
  </si>
  <si>
    <t>Mrs. Laurie McMillan</t>
  </si>
  <si>
    <t>Ms. Dinah Jung</t>
  </si>
  <si>
    <t>Linda Sheplawy-Woodcock</t>
  </si>
  <si>
    <t>Mr. Ted Lamers</t>
  </si>
  <si>
    <t>Ms Melody Yake-Bannon</t>
  </si>
  <si>
    <t>Mr. Jesse Jacomb</t>
  </si>
  <si>
    <t>Agnieszka Organics</t>
  </si>
  <si>
    <t>Mr. Charlie Imantola</t>
  </si>
  <si>
    <t>Mr. Patrick Lavaile</t>
  </si>
  <si>
    <t>Mr. Lyle Jacomb</t>
  </si>
  <si>
    <t>Ms. Samantha Cornell</t>
  </si>
  <si>
    <t>Mr. Robert Cornell</t>
  </si>
  <si>
    <t>Mr. Ryan Merritt</t>
  </si>
  <si>
    <t>Mr. Tim Charleau</t>
  </si>
  <si>
    <t>Mr. Marcel Penner</t>
  </si>
  <si>
    <t>Mr. Keith McEwan</t>
  </si>
  <si>
    <t>Mr. Tim &amp; Mrs. Christine Woodbeck</t>
  </si>
  <si>
    <t>Adduono's Sheet Metal &amp; Heating Ltd. &amp; Fireplaces</t>
  </si>
  <si>
    <t>Unifor Local 5025</t>
  </si>
  <si>
    <t>Amethyst Well drilling</t>
  </si>
  <si>
    <t>Mr. Joe &amp; Mrs. Sandi Martino</t>
  </si>
  <si>
    <t>Reverend David Silliman and Dr. Lee Silliman</t>
  </si>
  <si>
    <t>Mr. William &amp; Mrs. Carolyn Wiznuk</t>
  </si>
  <si>
    <t>Mr. Merrick Schincariol</t>
  </si>
  <si>
    <t>Ms. Elaine Mackenzie</t>
  </si>
  <si>
    <t>Mrs. Marian Drobet</t>
  </si>
  <si>
    <t>Ms. Korri Myketa</t>
  </si>
  <si>
    <t>Ms. Cherri Braye</t>
  </si>
  <si>
    <t>Hopper's Variety</t>
  </si>
  <si>
    <t>Thunder Bay Feeds</t>
  </si>
  <si>
    <t>Mr. Spencer Gatherum</t>
  </si>
  <si>
    <t>Mr. Craig MacKenzie</t>
  </si>
  <si>
    <t>Ms. Stephanie Mackenzie</t>
  </si>
  <si>
    <t>Mr. Rick Caputi</t>
  </si>
  <si>
    <t>Ms Jessica Dykes</t>
  </si>
  <si>
    <t>Ms. Selena Owen</t>
  </si>
  <si>
    <t>M. Dallairo</t>
  </si>
  <si>
    <t>Mr. Jeff Hynean</t>
  </si>
  <si>
    <t>Mr. Michael Goch</t>
  </si>
  <si>
    <t>Mr. Robert Heckley</t>
  </si>
  <si>
    <t>Mr. Grant Stevens &amp; Mrs. Linda Stevens</t>
  </si>
  <si>
    <t>Mr. Kevin Pevie</t>
  </si>
  <si>
    <t>Mrs. Laurie &amp; Mr. Derek Reed</t>
  </si>
  <si>
    <t>Mr. Phil Avella</t>
  </si>
  <si>
    <t>Mr. Todd &amp; Mrs. Cynthia Audit</t>
  </si>
  <si>
    <t>Mr. Kirk Landry</t>
  </si>
  <si>
    <t>Mr. Joe Manello</t>
  </si>
  <si>
    <t>Mr. John Hearing</t>
  </si>
  <si>
    <t>Mr. Frank Barron</t>
  </si>
  <si>
    <t>Mr. Greg Gibson</t>
  </si>
  <si>
    <t>Mr. Brian Rioux</t>
  </si>
  <si>
    <t>Jim Ibey</t>
  </si>
  <si>
    <t>Mr. David Ibey</t>
  </si>
  <si>
    <t>Mr. Stuart Screen</t>
  </si>
  <si>
    <t>Ms. Cathy McAlister</t>
  </si>
  <si>
    <t>Mr. Josh Romano</t>
  </si>
  <si>
    <t>Mr. Bob Tinsley</t>
  </si>
  <si>
    <t>Gordon Buterin</t>
  </si>
  <si>
    <t>Mr. Tyler Hogan</t>
  </si>
  <si>
    <t>Mr. Gary Kleinsasser</t>
  </si>
  <si>
    <t>Mr. William Faulkner</t>
  </si>
  <si>
    <t>Mr. Chris Hay</t>
  </si>
  <si>
    <t>Donald D'Amours</t>
  </si>
  <si>
    <t>William Yoki</t>
  </si>
  <si>
    <t>Ms. Mary Wood</t>
  </si>
  <si>
    <t>Dave DeBruyne</t>
  </si>
  <si>
    <t>Mr. Keith Ahtila</t>
  </si>
  <si>
    <t>Mr. Bruce &amp; Mrs. Leonne Harms</t>
  </si>
  <si>
    <t>Mr. Trevor Bowie</t>
  </si>
  <si>
    <t>Mr. Graham Milne</t>
  </si>
  <si>
    <t>Mr. Thomas &amp; Mrs. Mary Ann Ginty</t>
  </si>
  <si>
    <t>Michael and Chrissy Niittynen</t>
  </si>
  <si>
    <t>Ms. Kyna Mullen</t>
  </si>
  <si>
    <t>Mr. Josh Bobrowich</t>
  </si>
  <si>
    <t>Dr. David Kisselgoff</t>
  </si>
  <si>
    <t>Mr. Joel MacLeod and Mrs. Kayla Makkinga</t>
  </si>
  <si>
    <t>Mr. Jay Stewart</t>
  </si>
  <si>
    <t>Ms. Pamela Cowie</t>
  </si>
  <si>
    <t>Mr. Marco Pruca</t>
  </si>
  <si>
    <t>Reagan Hall</t>
  </si>
  <si>
    <t>Mr. Kevin Anton</t>
  </si>
  <si>
    <t>Mr. George Blacker</t>
  </si>
  <si>
    <t>Mr. Ted Becker</t>
  </si>
  <si>
    <t>Mr. Dale Carrier</t>
  </si>
  <si>
    <t>Mr. Ron Manducca</t>
  </si>
  <si>
    <t>Mr. Neil Dark</t>
  </si>
  <si>
    <t>Mr. Radcliffe Siddo</t>
  </si>
  <si>
    <t>Mr. Rick Salter</t>
  </si>
  <si>
    <t>Mr. Paul French</t>
  </si>
  <si>
    <t>Mr. Martin Miller</t>
  </si>
  <si>
    <t>Mr. Jason Creglia</t>
  </si>
  <si>
    <t>Mr. Kevin Richards</t>
  </si>
  <si>
    <t>Mr. Aaron Reynolds</t>
  </si>
  <si>
    <t>Ms. Lois Caruk</t>
  </si>
  <si>
    <t>Denise Ouellette</t>
  </si>
  <si>
    <t>Mrs. Bev &amp; Mr. Blaine Gallimore</t>
  </si>
  <si>
    <t>Ms. Joan Miller</t>
  </si>
  <si>
    <t>Stan and Donna Dysievick</t>
  </si>
  <si>
    <t>Ms. Judy Siciliano</t>
  </si>
  <si>
    <t>Mr. Hubert Beducair</t>
  </si>
  <si>
    <t>Mr. Kevin Salamon</t>
  </si>
  <si>
    <t>Ms. Kandie Salamon</t>
  </si>
  <si>
    <t>Taylor Magill</t>
  </si>
  <si>
    <t>Mr. Lee Wileander</t>
  </si>
  <si>
    <t>Ms. Meagan Newbold</t>
  </si>
  <si>
    <t>Mr. Andrew Tougas</t>
  </si>
  <si>
    <t>Mr. Nelson J. Berube</t>
  </si>
  <si>
    <t>Mr. Brian Drager</t>
  </si>
  <si>
    <t>Mr. Shawn Streicher</t>
  </si>
  <si>
    <t>Mr. George Davis</t>
  </si>
  <si>
    <t>Mr. Kirk Furioso</t>
  </si>
  <si>
    <t>Bruno's Contracting (Thunder Bay)</t>
  </si>
  <si>
    <t>Municipality of Neebing</t>
  </si>
  <si>
    <t>Dawson Diner Restaurant (old sweet g's)</t>
  </si>
  <si>
    <t>Brown Street Bike Shop</t>
  </si>
  <si>
    <t>Mr. Terry Demerse</t>
  </si>
  <si>
    <t>Alloy Technical Welding Services</t>
  </si>
  <si>
    <t>Mr. Robert T. Smith</t>
  </si>
  <si>
    <t>Mr. Tony Taristano</t>
  </si>
  <si>
    <t>PDR Contracting</t>
  </si>
  <si>
    <t>MRFD 2024</t>
  </si>
  <si>
    <t>Mr. Richard Furioso</t>
  </si>
  <si>
    <t>Mrs. Pirjo Kimber</t>
  </si>
  <si>
    <t>Ms. Christine Bates</t>
  </si>
  <si>
    <t>Mrs. Shirley Wragg</t>
  </si>
  <si>
    <t>Mr. Roger &amp; Mrs. Barb Rickards</t>
  </si>
  <si>
    <t>MISC</t>
  </si>
  <si>
    <t>PayPal Giving Fund Canada</t>
  </si>
  <si>
    <t>Ms. Hazel Baxter</t>
  </si>
  <si>
    <t>Mr. Corey Cohen</t>
  </si>
  <si>
    <t>Sharen D. Towsley</t>
  </si>
  <si>
    <t>Mrs. Dina McFarlane</t>
  </si>
  <si>
    <t>Mrs. Mary Ann Pomanti</t>
  </si>
  <si>
    <t>Mrs. Debbie &amp; Mr. Gary Hyatt</t>
  </si>
  <si>
    <t>Ms. Pamela L. Ward &amp; Family</t>
  </si>
  <si>
    <t>Ms. Kayla Dixon</t>
  </si>
  <si>
    <t>Mrs. Christa Calabrese</t>
  </si>
  <si>
    <t>Ms. Mary-Jean Cormier</t>
  </si>
  <si>
    <t>Lab Fund</t>
  </si>
  <si>
    <t>Mr. Todd Randall &amp; Ms. Mira Majerovich</t>
  </si>
  <si>
    <t>Mrs. Sylvia L. Kayzer</t>
  </si>
  <si>
    <t>Mr. Dan &amp; Mrs. Donna Topatigh</t>
  </si>
  <si>
    <t>Mr. William Bus</t>
  </si>
  <si>
    <t>Mrs. Tracey &amp; Mr. Donald Zimak</t>
  </si>
  <si>
    <t>Ms. Donica LeBlanc</t>
  </si>
  <si>
    <t>Ms. Dana Dragicevic</t>
  </si>
  <si>
    <t>Mrs. Sharon &amp; Mr. Michael Pedwysocki</t>
  </si>
  <si>
    <t>Mr. Michael Haveman</t>
  </si>
  <si>
    <t>RBC Royal Bank - Foundation</t>
  </si>
  <si>
    <t>Ms. Gail Marion</t>
  </si>
  <si>
    <t>LOH2026</t>
  </si>
  <si>
    <t>LOH2025</t>
  </si>
  <si>
    <t>Northern Credit Union</t>
  </si>
  <si>
    <t>Luncheon of Hope - Non Receiptable Donations</t>
  </si>
  <si>
    <t>Ms. Cortney Powell</t>
  </si>
  <si>
    <t>Mrs. Sandra &amp; Mr. Craig Willson</t>
  </si>
  <si>
    <t>Ms. Amy Montgomery</t>
  </si>
  <si>
    <t>Ms. Vanessa Kasper</t>
  </si>
  <si>
    <t>Mrs. Maureen &amp; Dr. Stephen Adams</t>
  </si>
  <si>
    <t>Mrs. Nancy Mayo</t>
  </si>
  <si>
    <t>Michael Romeo</t>
  </si>
  <si>
    <t>Ms. Holly O'Keefe</t>
  </si>
  <si>
    <t>Mrs. Sherry and Mr. Kelly Patterson &amp; Family</t>
  </si>
  <si>
    <t>Mrs. Rebecca Haessler</t>
  </si>
  <si>
    <t>Mrs. Sharon Durack</t>
  </si>
  <si>
    <t>Mrs. Sandra Gray</t>
  </si>
  <si>
    <t>Mrs. Lindsi Stewart</t>
  </si>
  <si>
    <t>Mrs. Kathleen &amp; Mr. Brian Tario</t>
  </si>
  <si>
    <t>Ms. Marlene Reid</t>
  </si>
  <si>
    <t>Ms. Mary Jo Charlebois</t>
  </si>
  <si>
    <t>Mrs. Sara Martel</t>
  </si>
  <si>
    <t>Mrs. Doris Kuusisto</t>
  </si>
  <si>
    <t>Mrs. Donnas Stuart</t>
  </si>
  <si>
    <t>Mr. Norman &amp; Mrs. Cathy Gorrie</t>
  </si>
  <si>
    <t>Ms. Erin May</t>
  </si>
  <si>
    <t>Mrs. Denise Evans</t>
  </si>
  <si>
    <t>Mrs. Paula Trudell</t>
  </si>
  <si>
    <t>Ms. Deborah Blaikie</t>
  </si>
  <si>
    <t>Avante Hair Studio</t>
  </si>
  <si>
    <t>Dr. Hoda Kowsari</t>
  </si>
  <si>
    <t>Ms. Nancy Coulter</t>
  </si>
  <si>
    <t>Mrs. Cindy Sinnott</t>
  </si>
  <si>
    <t>Ms. Ashley Maltese</t>
  </si>
  <si>
    <t>Ms. Melissa McClement</t>
  </si>
  <si>
    <t>Mrs. Diane Derbyshire</t>
  </si>
  <si>
    <t>Ms. Ann Marie Caruk</t>
  </si>
  <si>
    <t>Perfect Fit Lingerie</t>
  </si>
  <si>
    <t>Mrs. Gail Brescia</t>
  </si>
  <si>
    <t>Ms. Carol Morgan and Mr. Dean Botchar</t>
  </si>
  <si>
    <t>Ms. Cora Cambly</t>
  </si>
  <si>
    <t>Mrs. Mary Long-Irwin</t>
  </si>
  <si>
    <t>Ms. Joanne Migliazza</t>
  </si>
  <si>
    <t>Ms. Deenna Penner</t>
  </si>
  <si>
    <t>Mrs. Kasey Etreni</t>
  </si>
  <si>
    <t>Brand New You</t>
  </si>
  <si>
    <t>The Bodymind Centre</t>
  </si>
  <si>
    <t>Crush Coffee Co</t>
  </si>
  <si>
    <t>Mrs. Mariia Sukhanova</t>
  </si>
  <si>
    <t>Ms. Carol Stewart</t>
  </si>
  <si>
    <t>Mrs. Virginia Antoniak</t>
  </si>
  <si>
    <t>Mrs. Natasha Zeleny</t>
  </si>
  <si>
    <t>Kathleen Roulston</t>
  </si>
  <si>
    <t>Ms. Michelle Opaski</t>
  </si>
  <si>
    <t>Mrs. Anita &amp; Mr. Jay Storeshaw</t>
  </si>
  <si>
    <t>Mrs. Susan Rochon</t>
  </si>
  <si>
    <t>Mrs. Barbara &amp; Mr. Robert McEwen</t>
  </si>
  <si>
    <t>Irma's Bridal Boutique</t>
  </si>
  <si>
    <t>Ageless Aesthetics Studio</t>
  </si>
  <si>
    <t>Mrs. Kristina Mintenko</t>
  </si>
  <si>
    <t>Ms. Marie Klassen</t>
  </si>
  <si>
    <t>Ms. Amy Chiappetta</t>
  </si>
  <si>
    <t>Ms. Courtney Currie</t>
  </si>
  <si>
    <t>Pennie Pella</t>
  </si>
  <si>
    <t>Lesley Racco</t>
  </si>
  <si>
    <t>Mrs. Leilani Garry</t>
  </si>
  <si>
    <t>Ms. Saira J. VanderWees</t>
  </si>
  <si>
    <t>Ms. Kathleen Webb</t>
  </si>
  <si>
    <t>Ms. Vera McArthur</t>
  </si>
  <si>
    <t>Ms. Violet McWhirter</t>
  </si>
  <si>
    <t>Mrs. Donna Johnson</t>
  </si>
  <si>
    <t>Ms. Lauri Wright</t>
  </si>
  <si>
    <t>Ms. Nancy Angus</t>
  </si>
  <si>
    <t>Mrs. Kelly &amp; Mr. George Badanai</t>
  </si>
  <si>
    <t>Mrs. Marsha Honeysett</t>
  </si>
  <si>
    <t>Mrs. Sharon Lovis</t>
  </si>
  <si>
    <t>Ms. Marita Hainrich</t>
  </si>
  <si>
    <t>Mrs. Michelle Tavares</t>
  </si>
  <si>
    <t>Mrs. Kristen Kay</t>
  </si>
  <si>
    <t>Ms Stephanie Sorensen</t>
  </si>
  <si>
    <t>Ms Elizabeth D'Angelo</t>
  </si>
  <si>
    <t>Mrs. Jolene Hynnes</t>
  </si>
  <si>
    <t>Mrs. Cy-lyn Crupi</t>
  </si>
  <si>
    <t>Mrs. Alison Uliana</t>
  </si>
  <si>
    <t>Susan Gushel</t>
  </si>
  <si>
    <t>Mrs. Marissa Weatherston</t>
  </si>
  <si>
    <t>Mrs. Barb Fugelsang</t>
  </si>
  <si>
    <t>Mrs. Kim Murray</t>
  </si>
  <si>
    <t>Mrs. Kyla Jarvinen</t>
  </si>
  <si>
    <t>Mrs. Kristine Miller</t>
  </si>
  <si>
    <t>Mr. Gordon Jones</t>
  </si>
  <si>
    <t>Mrs. Olestia Lazovaia</t>
  </si>
  <si>
    <t>Margaret Barbini</t>
  </si>
  <si>
    <t>Ms. Kelly Burden</t>
  </si>
  <si>
    <t xml:space="preserve"> Embark Port Services Ltd.</t>
  </si>
  <si>
    <t>Ms. Therese Lim</t>
  </si>
  <si>
    <t>Mrs. Dawn Sebesta</t>
  </si>
  <si>
    <t>Mrs. Sue &amp; Mr. Gerry Gammond</t>
  </si>
  <si>
    <t>Ms. Kathy Sundell</t>
  </si>
  <si>
    <t>Ms. Sacha Mayo</t>
  </si>
  <si>
    <t>Mrs. Kimberly Francis</t>
  </si>
  <si>
    <t>Ms. Colleen Kelly</t>
  </si>
  <si>
    <t>Mrs. Pamela &amp; Mr. John Walas</t>
  </si>
  <si>
    <t>Lana Bullough</t>
  </si>
  <si>
    <t>Ms. Sheryn Byerley</t>
  </si>
  <si>
    <t>Paula Malone</t>
  </si>
  <si>
    <t>Mrs. Shannon Heggie</t>
  </si>
  <si>
    <t>Mrs. Simone &amp; Mr. Nathan Gunn</t>
  </si>
  <si>
    <t>Ms. Barbara Greer</t>
  </si>
  <si>
    <t>Mrs. Lynda &amp; Mr. Henry Bobinski</t>
  </si>
  <si>
    <t>Ms Elizabeth Calabrese</t>
  </si>
  <si>
    <t>Ms. Sonia Vander Vegte</t>
  </si>
  <si>
    <t>Synergy North</t>
  </si>
  <si>
    <t>JW Lemonade</t>
  </si>
  <si>
    <t>Jenna Wade Memorial Lemonade Stand</t>
  </si>
  <si>
    <t>Jersey Auction - LU</t>
  </si>
  <si>
    <t>R. Vanclnan</t>
  </si>
  <si>
    <t>Mr. Brad Mannila</t>
  </si>
  <si>
    <t>Mr. Edwin Mccauley</t>
  </si>
  <si>
    <t>Mrs. Cheryl Smith</t>
  </si>
  <si>
    <t>Ms. Kathy Thompson and Mr. Jeff Balina</t>
  </si>
  <si>
    <t>Timothy Watty</t>
  </si>
  <si>
    <t>Mr. Michael Johnston</t>
  </si>
  <si>
    <t>Mr. Robert Gugelyk</t>
  </si>
  <si>
    <t>Mr. Adam Vance</t>
  </si>
  <si>
    <t>Ms. Lucy Falicigno</t>
  </si>
  <si>
    <t>Mrs. Tina Reimer</t>
  </si>
  <si>
    <t>Mrs. Lauren Stevens</t>
  </si>
  <si>
    <t>Mr. Iain Angus</t>
  </si>
  <si>
    <t>Mr. Michael Johnson</t>
  </si>
  <si>
    <t>Tammy D'Amours</t>
  </si>
  <si>
    <t>Mr. Noah R</t>
  </si>
  <si>
    <t>Mrs. Hope Bryson</t>
  </si>
  <si>
    <t>Mr. David Smith</t>
  </si>
  <si>
    <t>Mr. Turner Johnson</t>
  </si>
  <si>
    <t>Mr. Dean Gerrie</t>
  </si>
  <si>
    <t>Mr. Tyler Gillies</t>
  </si>
  <si>
    <t>Paul and Janice Coccimiglio</t>
  </si>
  <si>
    <t>Mr. Fern Tarzia</t>
  </si>
  <si>
    <t>Mr. David Exp</t>
  </si>
  <si>
    <t>JB Golf Tourn</t>
  </si>
  <si>
    <t>Jed Blekkenhorst Memorial Golf Tournament</t>
  </si>
  <si>
    <t>Mr. Richard &amp; Mrs. Joyce Vis</t>
  </si>
  <si>
    <t>Mr. Richard Cramer</t>
  </si>
  <si>
    <t>Mr. Ray Valley</t>
  </si>
  <si>
    <t>Mr. Peter Miedema</t>
  </si>
  <si>
    <t>Mr. Michael Kompon</t>
  </si>
  <si>
    <t>Mr. Matthew J. Vis</t>
  </si>
  <si>
    <t>Mr. Leo Blekkenhorst</t>
  </si>
  <si>
    <t>Mr. Kenneth Paulusma</t>
  </si>
  <si>
    <t>Ms. Stacey Collie</t>
  </si>
  <si>
    <t>Mr. Brett Bodnar</t>
  </si>
  <si>
    <t>Ms. Lynnea Blekkenhorst</t>
  </si>
  <si>
    <t>Mr. Wayne &amp; Mrs. Sonya Cahais</t>
  </si>
  <si>
    <t>Mr. Ryan &amp; Ms. Kimberley Untinen</t>
  </si>
  <si>
    <t>Mr. Ron Heerema</t>
  </si>
  <si>
    <t>Mr. Henry Blekkenhorst</t>
  </si>
  <si>
    <t>Mr. Ben Bilker</t>
  </si>
  <si>
    <t>Mr. Ken Dowhaniuk</t>
  </si>
  <si>
    <t>Mr. Jim Fetter</t>
  </si>
  <si>
    <t>Mr. Jason Wright</t>
  </si>
  <si>
    <t>Mr. Jack Heerema</t>
  </si>
  <si>
    <t>Mr. Ed Paulusma</t>
  </si>
  <si>
    <t>Mr. Darren Schelhaas</t>
  </si>
  <si>
    <t>Mr. Chris Streutker</t>
  </si>
  <si>
    <t>Mr. Berend Blekkenhorst</t>
  </si>
  <si>
    <t>Mr. Andrew Brekveld</t>
  </si>
  <si>
    <t>Mr. Andrew Vis</t>
  </si>
  <si>
    <t>Mrs. Abbey Jacobson</t>
  </si>
  <si>
    <t>Play It Again Sports</t>
  </si>
  <si>
    <t>Art's Auto</t>
  </si>
  <si>
    <t>Mr. Allan &amp; Mrs. Joan Vis</t>
  </si>
  <si>
    <t>Mr. Rick &amp; Mrs. Cindy Breukelman</t>
  </si>
  <si>
    <t>Mr. Jeff &amp; Mrs. Ingrid Schelhaas</t>
  </si>
  <si>
    <t>Heart Cookies</t>
  </si>
  <si>
    <t>Bay Village Coffee</t>
  </si>
  <si>
    <t>Finn Way General Contractors Inc.</t>
  </si>
  <si>
    <t>Mr. Jim Chappell</t>
  </si>
  <si>
    <t>Ms. Donna Nagy</t>
  </si>
  <si>
    <t>Glenice Quesnelle</t>
  </si>
  <si>
    <t>Glenice Quesnelle Helps Fight Breast Cancer</t>
  </si>
  <si>
    <t>Mrs. Ellen &amp; Mr. Phil Lalonde</t>
  </si>
  <si>
    <t>Fun in the Sun</t>
  </si>
  <si>
    <t>Fun In the Sun Dart Tournament</t>
  </si>
  <si>
    <t>Fallen Stripes</t>
  </si>
  <si>
    <t>Mr. Patrick  Galloway</t>
  </si>
  <si>
    <t>Mr. Colin Dzijacky</t>
  </si>
  <si>
    <t>Mr. George &amp; Mrs. Heather Oltsher</t>
  </si>
  <si>
    <t>Mr. Connor Remus</t>
  </si>
  <si>
    <t>Mr. Osamagbe Imagbe</t>
  </si>
  <si>
    <t>Mr. Curtis M. Ball</t>
  </si>
  <si>
    <t>Darryl Penasi</t>
  </si>
  <si>
    <t>Mrs. Tristen Brown</t>
  </si>
  <si>
    <t>Mr. Tyson Ford</t>
  </si>
  <si>
    <t>Mr. Brandon Baglien</t>
  </si>
  <si>
    <t>Mr. Glen Goodman</t>
  </si>
  <si>
    <t>Darryl Penasi Fox Memorial Golf Classic</t>
  </si>
  <si>
    <t>Mr. Pat Galloway</t>
  </si>
  <si>
    <t>Mr. Liam Wrigley</t>
  </si>
  <si>
    <t>Mr. Keith Fox</t>
  </si>
  <si>
    <t>Wapekeka First Nation Band Administration Account</t>
  </si>
  <si>
    <t>Windigo First Nations Council</t>
  </si>
  <si>
    <t>2550189 Ontario Inc.</t>
  </si>
  <si>
    <t>Ms. Mary Zoccole</t>
  </si>
  <si>
    <t>Mr. Aaron Gray</t>
  </si>
  <si>
    <t>Mrs. Monica Hemeon</t>
  </si>
  <si>
    <t>Dancing Docs</t>
  </si>
  <si>
    <t>CTC 2026</t>
  </si>
  <si>
    <t>Mr. Brent E. Hagberg</t>
  </si>
  <si>
    <t>Mrs. Lory Cassano</t>
  </si>
  <si>
    <t>Ms. Suzanne Vallelonga</t>
  </si>
  <si>
    <t>Mrs. Judy Boucher</t>
  </si>
  <si>
    <t>Mrs. Erin Oner</t>
  </si>
  <si>
    <t>Ms. Terri Jack</t>
  </si>
  <si>
    <t>Mrs. Kaitlin &amp; Mr. Jeremy Adduono</t>
  </si>
  <si>
    <t>Doane Grant Thornton LLP</t>
  </si>
  <si>
    <t>Rhonda Skilllen</t>
  </si>
  <si>
    <t>Ms. Melissa Kastern</t>
  </si>
  <si>
    <t>Ms. Agata Doucette</t>
  </si>
  <si>
    <t>Mrs. Madisyn Owen</t>
  </si>
  <si>
    <t>Mrs. Cassidy Libble</t>
  </si>
  <si>
    <t>Mrs. Shelley Jarzabek</t>
  </si>
  <si>
    <t>Mrs. Sue Hughes</t>
  </si>
  <si>
    <t>Mr. Farren Tropea</t>
  </si>
  <si>
    <t>Mrs. Sarah Wyder</t>
  </si>
  <si>
    <t>Ms. Janine Andraka</t>
  </si>
  <si>
    <t>Ms. Jill McLeod</t>
  </si>
  <si>
    <t>Ms. Christa Pelletier &amp; Family</t>
  </si>
  <si>
    <t>Mrs. Joanne Noble</t>
  </si>
  <si>
    <t>Mr. Angelo Sirignano</t>
  </si>
  <si>
    <t>Mrs. Danisha Lennstrom</t>
  </si>
  <si>
    <t>Jimmy Owen</t>
  </si>
  <si>
    <t>Mr. Robert Stockla</t>
  </si>
  <si>
    <t>Mr. Brady &amp; Mrs. Sara Fisher</t>
  </si>
  <si>
    <t>Robert Lamke</t>
  </si>
  <si>
    <t>Mr. Shaun Ireland</t>
  </si>
  <si>
    <t>Mr. Bert Watts</t>
  </si>
  <si>
    <t>Mr. Andrew Graba</t>
  </si>
  <si>
    <t>Mr. Arion Galick</t>
  </si>
  <si>
    <t>Mr. Mason Prout</t>
  </si>
  <si>
    <t>Mr. Brett Leochko</t>
  </si>
  <si>
    <t>Mr. Dan Lee</t>
  </si>
  <si>
    <t>Mrs. Maija Niskanen</t>
  </si>
  <si>
    <t>Tony and Suzanne Sirignano</t>
  </si>
  <si>
    <t>Mr. Kevin Slemko</t>
  </si>
  <si>
    <t>Mr. Aaron Swerdlyk</t>
  </si>
  <si>
    <t>Mrs. Anne Marie Polowski</t>
  </si>
  <si>
    <t>Ms. Carrie Vale</t>
  </si>
  <si>
    <t>Ms. Marie Baldi</t>
  </si>
  <si>
    <t>Mr. Andrei Rosario</t>
  </si>
  <si>
    <t>Mr. Jordan Huezo</t>
  </si>
  <si>
    <t>Mr. Marcuse Khan</t>
  </si>
  <si>
    <t>Ms. Lacey Vander Vegte</t>
  </si>
  <si>
    <t>Bullseye Games Inc.</t>
  </si>
  <si>
    <t>Mrs. Lina &amp; Mr. Dominic Vita</t>
  </si>
  <si>
    <t>Mrs. Sheri Lang</t>
  </si>
  <si>
    <t>Mr. Jesse Hernandez</t>
  </si>
  <si>
    <t>Mr. Sean Demerah</t>
  </si>
  <si>
    <t>Mrs. Suzanne Fiorito</t>
  </si>
  <si>
    <t>Ms. Amanda Bay</t>
  </si>
  <si>
    <t>Mr. Darryl Legacy</t>
  </si>
  <si>
    <t>Brandon Sirignano</t>
  </si>
  <si>
    <t>Mrs. Angela Begin</t>
  </si>
  <si>
    <t>Mr. Geri Vandervegte</t>
  </si>
  <si>
    <t>Mr. Jacob De Boer</t>
  </si>
  <si>
    <t>Ms. Anna Law</t>
  </si>
  <si>
    <t>Mr. Rod P. Brescia</t>
  </si>
  <si>
    <t>Heather Browning</t>
  </si>
  <si>
    <t>Mr. Matt &amp; Mrs. Allison Simeoni</t>
  </si>
  <si>
    <t>Mrs. Angela Sirigniano</t>
  </si>
  <si>
    <t>Mr. Armando Gioberti</t>
  </si>
  <si>
    <t>Bailey Symington</t>
  </si>
  <si>
    <t>Mrs. Brenda Hurley</t>
  </si>
  <si>
    <t>TBT Engineering</t>
  </si>
  <si>
    <t>CTC 2025</t>
  </si>
  <si>
    <t>Mrs. Laura J. Craig</t>
  </si>
  <si>
    <t>Chase The Case 2025</t>
  </si>
  <si>
    <t>Ms. Kelsey Belluz</t>
  </si>
  <si>
    <t>Ms. Annastascia Neron</t>
  </si>
  <si>
    <t>Mrs. Suzie Barkman</t>
  </si>
  <si>
    <t>Mr. Devan Hook</t>
  </si>
  <si>
    <t>Adam Kok</t>
  </si>
  <si>
    <t>Ms. Leona Fleming</t>
  </si>
  <si>
    <t>Keilynn Hodges</t>
  </si>
  <si>
    <t>Mrs. Kimberly A. Toskovich</t>
  </si>
  <si>
    <t>James Cameron</t>
  </si>
  <si>
    <t>Mrs. Kari Chiappetta</t>
  </si>
  <si>
    <t>G. Prezio Electric Ltd</t>
  </si>
  <si>
    <t>Marostica Subaru</t>
  </si>
  <si>
    <t>Ms. Joelle Pilon</t>
  </si>
  <si>
    <t>Mandy Card</t>
  </si>
  <si>
    <t>Ms. Tania Hashiguchi</t>
  </si>
  <si>
    <t>Dylan Patterson</t>
  </si>
  <si>
    <t>Ms. Ursula Cote</t>
  </si>
  <si>
    <t>Mr. Andrew Follis</t>
  </si>
  <si>
    <t>Mr. Dave Thomas</t>
  </si>
  <si>
    <t>Mrs. Oshenomase Whitney Imagbe</t>
  </si>
  <si>
    <t>Mrs. Yvonne Gallant</t>
  </si>
  <si>
    <t>Terri Rogala</t>
  </si>
  <si>
    <t>Mrs. Doreen Stone</t>
  </si>
  <si>
    <t>Mr. Tony Casasanta</t>
  </si>
  <si>
    <t>Mr. Nathan Lucio</t>
  </si>
  <si>
    <t>Mrs. Darlene Ross</t>
  </si>
  <si>
    <t>Mrs. Pauline Drake</t>
  </si>
  <si>
    <t>Mrs. Yvonne Arthur</t>
  </si>
  <si>
    <t>Ms. Shawndra Ehelebe and Mr. Cory Kostesky</t>
  </si>
  <si>
    <t>Sam Foglia</t>
  </si>
  <si>
    <t>Mr. Anthony &amp; Mrs. Maria Gazzola</t>
  </si>
  <si>
    <t>Mr. Justin Migliazza</t>
  </si>
  <si>
    <t>Ms. Carol Arvonio</t>
  </si>
  <si>
    <t>Ms. Melissa Seymour</t>
  </si>
  <si>
    <t>Mrs. Shannon Corbett</t>
  </si>
  <si>
    <t>Randy Wanakamik</t>
  </si>
  <si>
    <t>Ms Patricia DePiero</t>
  </si>
  <si>
    <t>Mrs. Maria Dewar</t>
  </si>
  <si>
    <t>Mr. Tom Marshal</t>
  </si>
  <si>
    <t>Mr. Ethan Haywood</t>
  </si>
  <si>
    <t>Ms. Melissa Daley</t>
  </si>
  <si>
    <t>Ms. Chantal Lesschaeve</t>
  </si>
  <si>
    <t>Deanna Owen</t>
  </si>
  <si>
    <t>Ms. Saige Mckay</t>
  </si>
  <si>
    <t>Mr. Dallas Sulyma</t>
  </si>
  <si>
    <t>Mrs. Michelle &amp; Mr. Glen Dunn</t>
  </si>
  <si>
    <t>Ms. Selina Legault</t>
  </si>
  <si>
    <t>Mr. Thomas Milks</t>
  </si>
  <si>
    <t>Ms. and Mr. Leona Tarini</t>
  </si>
  <si>
    <t>Mr. Charles Osondu</t>
  </si>
  <si>
    <t>Cho Zaw</t>
  </si>
  <si>
    <t>Mr. David Tarini</t>
  </si>
  <si>
    <t>Mr. Volker Kromm</t>
  </si>
  <si>
    <t>Ms. Breanna Cirilio</t>
  </si>
  <si>
    <t>Melanie Anderson</t>
  </si>
  <si>
    <t>Rafael Cadena</t>
  </si>
  <si>
    <t>Mr. Osarumwense Imagbe</t>
  </si>
  <si>
    <t>Mrs. Joanne Badanai</t>
  </si>
  <si>
    <t>Ms. Colleen Owen</t>
  </si>
  <si>
    <t>Ms. Kimberly Boileau</t>
  </si>
  <si>
    <t>CFC</t>
  </si>
  <si>
    <t>Ms. Mya Wiolstad</t>
  </si>
  <si>
    <t>Ms. Marly Wiolstad</t>
  </si>
  <si>
    <t>Ms. Lori-Lynn Harrison</t>
  </si>
  <si>
    <t>Ms. Janice Jewiss</t>
  </si>
  <si>
    <t>Mrs. Marilyn Strachan</t>
  </si>
  <si>
    <t>Mrs. Freida Carmody</t>
  </si>
  <si>
    <t>Mr. Robert Bombay</t>
  </si>
  <si>
    <t>Ms. Mel Williams</t>
  </si>
  <si>
    <t>Ms. Kayla Pattison</t>
  </si>
  <si>
    <t>Mr. Wes Friesen</t>
  </si>
  <si>
    <t>Mr. Marvin Van Heyst</t>
  </si>
  <si>
    <t>Mr. Eric Mosbeck</t>
  </si>
  <si>
    <t>Ms. Doris Dyson</t>
  </si>
  <si>
    <t>Ms. Terril Strain</t>
  </si>
  <si>
    <t>Ms. Rhonda Pollard</t>
  </si>
  <si>
    <t>Mr. Brian &amp; Mrs. Julie Lowry</t>
  </si>
  <si>
    <t>Mrs. and Mr. Heidi Bolen-Kreger</t>
  </si>
  <si>
    <t>Ms. Patti Peacock</t>
  </si>
  <si>
    <t>Ms. Eilen Chojko-Bolec</t>
  </si>
  <si>
    <t>Ms. Carole Strachan</t>
  </si>
  <si>
    <t>Mrs. Dianne Vanderbrand</t>
  </si>
  <si>
    <t>Mr. Alvin &amp; Mrs. Carol McClain</t>
  </si>
  <si>
    <t>Mr. Doug Kreger</t>
  </si>
  <si>
    <t>Ms. Stacy Kreger</t>
  </si>
  <si>
    <t>Ms. Marni Redford</t>
  </si>
  <si>
    <t>Mrs. Sadie Smith</t>
  </si>
  <si>
    <t>Ms Linda Jewell</t>
  </si>
  <si>
    <t>Mrs. Carol &amp; Mr. Alvin McClain</t>
  </si>
  <si>
    <t>Ms. Dolly Evans</t>
  </si>
  <si>
    <t>Ms Olivia Kreger</t>
  </si>
  <si>
    <t>Cava</t>
  </si>
  <si>
    <t>Canada Life Frank Cava Memorial Golf Tournament</t>
  </si>
  <si>
    <t>Mr. Kody Anton</t>
  </si>
  <si>
    <t>Tony and Claudia Tropea</t>
  </si>
  <si>
    <t>James Nyberg</t>
  </si>
  <si>
    <t>Mr. Rob Vanderwey</t>
  </si>
  <si>
    <t>Mr. Frank &amp; Mrs. Janice De Fazio</t>
  </si>
  <si>
    <t>Mr. Tyler Anton</t>
  </si>
  <si>
    <t>Tyler Moskalyk</t>
  </si>
  <si>
    <t>Mr. Seppo &amp; Mrs. Cathy Koiranen</t>
  </si>
  <si>
    <t>Mr. Shane Canal</t>
  </si>
  <si>
    <t>Mr. Marc Vanska</t>
  </si>
  <si>
    <t>Mr. Joseph Nigro</t>
  </si>
  <si>
    <t>Mr. and Mrs. David Kyle</t>
  </si>
  <si>
    <t>Kofi Agbo</t>
  </si>
  <si>
    <t>Brian Hann</t>
  </si>
  <si>
    <t>Brent Bommes</t>
  </si>
  <si>
    <t>Mr. Murray &amp; Mrs. Loretta Walberg</t>
  </si>
  <si>
    <t>Mr. Terrance &amp; Mrs. Silvana Restoule</t>
  </si>
  <si>
    <t>Anthony Biniaris</t>
  </si>
  <si>
    <t>Dr. Stewart &amp; Mrs. Linda Kennedy</t>
  </si>
  <si>
    <t>Mr. Murray Butler</t>
  </si>
  <si>
    <t>Mr. Mark &amp; Mrs. Bev Bruzzese</t>
  </si>
  <si>
    <t>Mr. Dale &amp; Mrs. Marla Poulin</t>
  </si>
  <si>
    <t>Mr. Frank &amp; Mrs. Maria Zanni</t>
  </si>
  <si>
    <t>Mr. Devan Mascarin</t>
  </si>
  <si>
    <t>Mr. Christopher Flint</t>
  </si>
  <si>
    <t>Mr. Joey Zanni</t>
  </si>
  <si>
    <t>Mr. Ryan Walsh</t>
  </si>
  <si>
    <t>Nathan George</t>
  </si>
  <si>
    <t>Mr. Jeremy &amp; Mrs. Kaitlin Adduono</t>
  </si>
  <si>
    <t>Mr. and Mrs. Timothy Johnson &amp; Family</t>
  </si>
  <si>
    <t>Mr. Gerald Champagne</t>
  </si>
  <si>
    <t>Adrian McKee</t>
  </si>
  <si>
    <t>Mr. Kevin Campbell</t>
  </si>
  <si>
    <t>Mr. Angelo Santin</t>
  </si>
  <si>
    <t>Trevor Whillans</t>
  </si>
  <si>
    <t>Mr. Brett Taylor</t>
  </si>
  <si>
    <t>John Cava</t>
  </si>
  <si>
    <t>Mr. Anthony Talarico</t>
  </si>
  <si>
    <t>Mr. George Comuzzi</t>
  </si>
  <si>
    <t>Mr. Anthony Russo</t>
  </si>
  <si>
    <t>Mr. Frank Lopez</t>
  </si>
  <si>
    <t>Mr. Dylan Butler</t>
  </si>
  <si>
    <t>Mr. Lucas Rizzo</t>
  </si>
  <si>
    <t>Mr. Mitch Howarth</t>
  </si>
  <si>
    <t>Mr. Kolin Beck</t>
  </si>
  <si>
    <t>Mr. Nicholas Lopez</t>
  </si>
  <si>
    <t>Mr. Ryan Tront</t>
  </si>
  <si>
    <t>Mr. Conner Butler</t>
  </si>
  <si>
    <t>Thomas Aro</t>
  </si>
  <si>
    <t>Mr. Peter Gula</t>
  </si>
  <si>
    <t>Mr. Michael &amp; Mrs. Jennifer Sargent</t>
  </si>
  <si>
    <t>Mr. Corey Phillips</t>
  </si>
  <si>
    <t>Mr. Jonathon Lopez</t>
  </si>
  <si>
    <t>Mr. John &amp; Mrs. Michelle Fiorot</t>
  </si>
  <si>
    <t>Mr. Russ Wakewich</t>
  </si>
  <si>
    <t>Gary and Lori Squier</t>
  </si>
  <si>
    <t>Mr. Alexander M. Restoule</t>
  </si>
  <si>
    <t>Mr. and Mrs. Paul Cava</t>
  </si>
  <si>
    <t>Mr. Peter Cava</t>
  </si>
  <si>
    <t>Mr. Chris Cava</t>
  </si>
  <si>
    <t>Mr. Aaron Squier</t>
  </si>
  <si>
    <t>Mr. Darcy Hunter &amp; Family</t>
  </si>
  <si>
    <t>Alex Falcigno</t>
  </si>
  <si>
    <t>Mr. Doug &amp; Mrs. Lisa Dowhos</t>
  </si>
  <si>
    <t>Mr. Graham Mazur</t>
  </si>
  <si>
    <t>Mr. Zachary Ross</t>
  </si>
  <si>
    <t>Eric Armiento</t>
  </si>
  <si>
    <t>Mr. Morgan Mckay</t>
  </si>
  <si>
    <t>Mr. Kyle Bruni</t>
  </si>
  <si>
    <t>Ms. Mark Russell</t>
  </si>
  <si>
    <t>Mr. Daniel Ward</t>
  </si>
  <si>
    <t>Mr. Robert Vanderwey</t>
  </si>
  <si>
    <t>Mr. Patrick &amp; Mrs. Judy Suddaby</t>
  </si>
  <si>
    <t>Mr. Michael Mazur</t>
  </si>
  <si>
    <t>Mr. Rory &amp; Mrs. Franca Cava</t>
  </si>
  <si>
    <t>Mr. Andrew Fernandez</t>
  </si>
  <si>
    <t>Mr. Steven Anderson</t>
  </si>
  <si>
    <t>Burgers</t>
  </si>
  <si>
    <t>162170 Ontario Inc</t>
  </si>
  <si>
    <t>Barbells</t>
  </si>
  <si>
    <t>Barbells for Boobs</t>
  </si>
  <si>
    <t>Mrs. Jeane Mare</t>
  </si>
  <si>
    <t>Mr. Lorencio DiGregorio</t>
  </si>
  <si>
    <t>Ms. Sylvie Cote</t>
  </si>
  <si>
    <t>Mrs. Ruthann Isbell</t>
  </si>
  <si>
    <t>Ms. Monique Gouthro</t>
  </si>
  <si>
    <t>Mr. Darren Watts</t>
  </si>
  <si>
    <t>Ms. Ginette Antoniak</t>
  </si>
  <si>
    <t>Mrs. &amp; Mr. Holly Cryderman</t>
  </si>
  <si>
    <t>Mrs. Paula &amp; Mr. Jerry Tsubouchi</t>
  </si>
  <si>
    <t>Mr. Peter &amp; Mrs. Judy Murphy</t>
  </si>
  <si>
    <t>Mrs. Kate Massicotte</t>
  </si>
  <si>
    <t>Ms. Jodee Lamers</t>
  </si>
  <si>
    <t>Mr. Brady &amp; Mrs. Melanie Scavarelli</t>
  </si>
  <si>
    <t>Mrs. Melanie &amp; Mr. Brady Scavarelli</t>
  </si>
  <si>
    <t>Ms. Sarah Morrison</t>
  </si>
  <si>
    <t>Ms. Jennifer Ross</t>
  </si>
  <si>
    <t>Mr. Rafal Kaczmarek</t>
  </si>
  <si>
    <t>Ms Jodie Keys</t>
  </si>
  <si>
    <t>Mrs. Kim Strickland</t>
  </si>
  <si>
    <t>Mrs. Zelka Black</t>
  </si>
  <si>
    <t>Ms. Sherry Zurevinski</t>
  </si>
  <si>
    <t>Ms. Erin McCormack</t>
  </si>
  <si>
    <t>Mr. Eric Vastamaki</t>
  </si>
  <si>
    <t>Mr. Dimitri Vlahos</t>
  </si>
  <si>
    <t>Ms. Kathleen Shaw</t>
  </si>
  <si>
    <t>Brody K. Fox</t>
  </si>
  <si>
    <t>Mrs. Jacqueline &amp; Mrs. Alexa Tennapel</t>
  </si>
  <si>
    <t>Mrs. Alexa Arcon</t>
  </si>
  <si>
    <t>1949249 Ontario Ltd./ Superior Crossfit</t>
  </si>
  <si>
    <t>Mr. Shane McCormack and Mr. Brian Rosina</t>
  </si>
  <si>
    <t>Mr. Brian &amp; Mrs. Susanne Walford</t>
  </si>
  <si>
    <t>50K</t>
  </si>
  <si>
    <t>Mrs. Danielle Brown</t>
  </si>
  <si>
    <t>Keith W Ailey</t>
  </si>
  <si>
    <t>Jody Corbett</t>
  </si>
  <si>
    <t>Pat Auffret</t>
  </si>
  <si>
    <t>Ms. Rheana Gomez</t>
  </si>
  <si>
    <t>Mrs. Victoria Holland</t>
  </si>
  <si>
    <t>Mrs. Sandi Hunter</t>
  </si>
  <si>
    <t>Ms. Maureen Cameron</t>
  </si>
  <si>
    <t>Ms. Sharon J. Sidlar</t>
  </si>
  <si>
    <t>Mr. Gregory Hearn</t>
  </si>
  <si>
    <t>Mrs. Sarah Boyechko</t>
  </si>
  <si>
    <t>Mr. Sean Arruda</t>
  </si>
  <si>
    <t>Mrs. Andrea Javellana</t>
  </si>
  <si>
    <t>Mrs. Amanda Ross</t>
  </si>
  <si>
    <t>Mrs. Mackenzie Nelson</t>
  </si>
  <si>
    <t>Mrs. Kelly Tait</t>
  </si>
  <si>
    <t>Mr. Jarrid Sawicki</t>
  </si>
  <si>
    <t>Mrs. Diane Hunter</t>
  </si>
  <si>
    <t>Fund Description</t>
  </si>
  <si>
    <t>Appeal Split Amount</t>
  </si>
  <si>
    <t>Appeal ID</t>
  </si>
  <si>
    <t>Primary Addressee</t>
  </si>
  <si>
    <t>Gift ID</t>
  </si>
  <si>
    <t>Cash</t>
  </si>
  <si>
    <t>Gift-in-Kind</t>
  </si>
  <si>
    <t>Pay-Cash</t>
  </si>
  <si>
    <t>Other</t>
  </si>
  <si>
    <t>Gift Reference</t>
  </si>
  <si>
    <t>Gift Date</t>
  </si>
  <si>
    <t>50 for 50 Loppet challenge Colin Hunter</t>
  </si>
  <si>
    <t>Dr. Abdelhamid Tayebi</t>
  </si>
  <si>
    <t>Mrs. Susan J. Childs</t>
  </si>
  <si>
    <t>Mr. Thomas Collins</t>
  </si>
  <si>
    <t>Dr. Baoqiang Liao</t>
  </si>
  <si>
    <t>Dr. Sudhip Rakshit</t>
  </si>
  <si>
    <t>Mrs. Ashley Villella</t>
  </si>
  <si>
    <t>Mr. Jason Mckenzie</t>
  </si>
  <si>
    <t>Mr. Michael Noonan</t>
  </si>
  <si>
    <t>Colin Hunter</t>
  </si>
  <si>
    <t>Ms. Kira Barkley</t>
  </si>
  <si>
    <t>Ms. Sara Alves</t>
  </si>
  <si>
    <t>50173919 voided</t>
  </si>
  <si>
    <t>EFT</t>
  </si>
  <si>
    <t>Frank Cava Memorial Golf Sponsorship</t>
  </si>
  <si>
    <t>Hair&amp; Body Shoppe/Josey Ray</t>
  </si>
  <si>
    <t>Hair &amp; Body Shoppe/Josey Ray</t>
  </si>
  <si>
    <t>Hair &amp; Body Shoppe/Josey Rey</t>
  </si>
  <si>
    <t>Hair &amp; Body Shoppe</t>
  </si>
  <si>
    <t>50171884 ~ VOIDED</t>
  </si>
  <si>
    <t>OneCause</t>
  </si>
  <si>
    <t>Andrei Rosario</t>
  </si>
  <si>
    <t>Osamagbe Imagbe</t>
  </si>
  <si>
    <t>Jonathan Morrow</t>
  </si>
  <si>
    <t>Gabe Tarini</t>
  </si>
  <si>
    <t>Johnathan Morrow</t>
  </si>
  <si>
    <t>Gabriel Tarini</t>
  </si>
  <si>
    <t>Auth:# 040651/Inv# 2553</t>
  </si>
  <si>
    <t>Kyle Stone</t>
  </si>
  <si>
    <t>Travel Blitz</t>
  </si>
  <si>
    <t>Call The Banker</t>
  </si>
  <si>
    <t>Wine Pull</t>
  </si>
  <si>
    <t>Bling Blitz</t>
  </si>
  <si>
    <t>Auction item: Backyard Party (Regular)</t>
  </si>
  <si>
    <t>Auction item: Perfect Engagement (Regular)</t>
  </si>
  <si>
    <t>Auction item: Jet, Set, Pamper (Regular)</t>
  </si>
  <si>
    <t>Auction item: Neighbours Envy (Regular)</t>
  </si>
  <si>
    <t>Auction item: Inspired Renovation (Regular)</t>
  </si>
  <si>
    <t>Auction item: Auction item: Zen Squad (Regular)</t>
  </si>
  <si>
    <t>Auction item: Culinary Experience (Regular)</t>
  </si>
  <si>
    <t>Auction item: Luxe Lake Adventure (Regular)</t>
  </si>
  <si>
    <t>Auction item: Mindful Mixer (Regular)</t>
  </si>
  <si>
    <t>Auction item: Tee Time Deluxe (Regular)</t>
  </si>
  <si>
    <t>Auction item: Creative Night Out (Regular)</t>
  </si>
  <si>
    <t>Auction item: Carbs &amp; Comedy (Regular)</t>
  </si>
  <si>
    <t>Auction item: Ultimate Glam Night (Regular)</t>
  </si>
  <si>
    <t>Auction item: Perfect Fit Lingerie (Regular)</t>
  </si>
  <si>
    <t>Auction item: Golf, Eat, Repeat (Regular)</t>
  </si>
  <si>
    <t>Wine Pulls</t>
  </si>
  <si>
    <t>Symposium Clue (Regular)</t>
  </si>
  <si>
    <t>Daniel Imagbe</t>
  </si>
  <si>
    <t>30x24 Oil on Canvas - yellow Vibes</t>
  </si>
  <si>
    <t>Chase the Case - Title Sponsor</t>
  </si>
  <si>
    <t>INV# 2591</t>
  </si>
  <si>
    <t>Mrs. Jesse Chrusz</t>
  </si>
  <si>
    <t>Larry Speak</t>
  </si>
  <si>
    <t>50173716 voided</t>
  </si>
  <si>
    <t>Custom Amount</t>
  </si>
  <si>
    <t>cjkeeper@shaw.ca Siilent auction</t>
  </si>
  <si>
    <t>Silent Auction</t>
  </si>
  <si>
    <t>registration</t>
  </si>
  <si>
    <t>Hit The Fox Game</t>
  </si>
  <si>
    <t>Registration</t>
  </si>
  <si>
    <t>Invoice 2567</t>
  </si>
  <si>
    <t>GooglePay</t>
  </si>
  <si>
    <t>Tip Tap Anonymous</t>
  </si>
  <si>
    <t>anonymous tip tap</t>
  </si>
  <si>
    <t>Anonymous Tip Tap</t>
  </si>
  <si>
    <t>#10 Josh Lehto</t>
  </si>
  <si>
    <t>#5 Marko Stojkov</t>
  </si>
  <si>
    <t>#24 Dalton Macgillvray</t>
  </si>
  <si>
    <t>#4 Malte Hasselgren</t>
  </si>
  <si>
    <t>#17 Keighan Gerrie</t>
  </si>
  <si>
    <t>#22 Naaman Hofer</t>
  </si>
  <si>
    <t>#19 Luke Janus</t>
  </si>
  <si>
    <t>#15 Tay Bryson</t>
  </si>
  <si>
    <t>#9 Zane Rowan</t>
  </si>
  <si>
    <t>#21 Olivier Pouliot &amp; #12 Richard Whitaker</t>
  </si>
  <si>
    <t>#27 Austin Peters</t>
  </si>
  <si>
    <t>#11 Nicholas DeGrazia</t>
  </si>
  <si>
    <t>#3 Liam Whittaker</t>
  </si>
  <si>
    <t>#2 Jadon Reimer</t>
  </si>
  <si>
    <t>#31 Carson Cherepak</t>
  </si>
  <si>
    <t>#18 James Fuchs &amp; #20 Nikolas Campbell</t>
  </si>
  <si>
    <t>#8 Will Murphy</t>
  </si>
  <si>
    <t>#28 Riley Sharun</t>
  </si>
  <si>
    <t>#16 Caden Drury</t>
  </si>
  <si>
    <t>#1 Christian Cicigoi</t>
  </si>
  <si>
    <t>#6 Tim Porter</t>
  </si>
  <si>
    <t>#29 Nrody Beauchemin &amp; #26 Jack Cook</t>
  </si>
  <si>
    <t>#13 Trentyn Crane</t>
  </si>
  <si>
    <t>#30 Gunner Paradis</t>
  </si>
  <si>
    <t>#14 Josh Van Unen</t>
  </si>
  <si>
    <t>GooglePay Lemonade Stand in Honour of Jenna Wade</t>
  </si>
  <si>
    <t>Lemonade Stand in Honour of Jenna Wade</t>
  </si>
  <si>
    <t>USD</t>
  </si>
  <si>
    <t>Jenna Wade Lemonade</t>
  </si>
  <si>
    <t>Invoice# 2561</t>
  </si>
  <si>
    <t>Invoice# 2563</t>
  </si>
  <si>
    <t>Invoice # 2566</t>
  </si>
  <si>
    <t>Invoice 2575</t>
  </si>
  <si>
    <t>Auth#: 161913</t>
  </si>
  <si>
    <t>Invoice 2576</t>
  </si>
  <si>
    <t>Exhibitor Fee</t>
  </si>
  <si>
    <t>Auth#: 079680</t>
  </si>
  <si>
    <t>E-transfer</t>
  </si>
  <si>
    <t>Invoice # 2578 / (50173849 VOID)</t>
  </si>
  <si>
    <t>Diamond</t>
  </si>
  <si>
    <t>Travel</t>
  </si>
  <si>
    <t>Net penny auction proceeds</t>
  </si>
  <si>
    <t>Invoice# 2572</t>
  </si>
  <si>
    <t>Square - Book Purchase</t>
  </si>
  <si>
    <t>Square - Butterly</t>
  </si>
  <si>
    <t>Auth#: 549918</t>
  </si>
  <si>
    <t>Invoice#2582</t>
  </si>
  <si>
    <t>Invoice# 2579</t>
  </si>
  <si>
    <t>50174143 voided</t>
  </si>
  <si>
    <t>Invoice# 2581</t>
  </si>
  <si>
    <t>Ins of 11/10/24</t>
  </si>
  <si>
    <t>Eileen's BD Fundraiser</t>
  </si>
  <si>
    <t>No Cash Received</t>
  </si>
  <si>
    <t>Krista Tompkins   50173436voided</t>
  </si>
  <si>
    <t>Walter Schincariol</t>
  </si>
  <si>
    <t>Krista Tompkins</t>
  </si>
  <si>
    <t>John Pascuzzo  50173418voided</t>
  </si>
  <si>
    <t>Jean-Yves Gervais</t>
  </si>
  <si>
    <t>Lyle Knudsen 50173578voided</t>
  </si>
  <si>
    <t>Lyle Knudsen  50173640voided</t>
  </si>
  <si>
    <t>Lyle Knudsen  50173684 voided</t>
  </si>
  <si>
    <t>Lyle Knudsen 50173624voided</t>
  </si>
  <si>
    <t>Lyle Knudsen 50173561voided</t>
  </si>
  <si>
    <t>Lyle Knudsen   50173469voided</t>
  </si>
  <si>
    <t>John Pascuzzo  50173333voided</t>
  </si>
  <si>
    <t>Lyle  Knudson   50173301voided</t>
  </si>
  <si>
    <t>Lyle Knudsen 50173632voided</t>
  </si>
  <si>
    <t>Lyle Knudsen 50173270voided</t>
  </si>
  <si>
    <t>Lyle Knudsen   50173526 voided</t>
  </si>
  <si>
    <t>Lyle Knudsen   50173551voided</t>
  </si>
  <si>
    <t>Lyle Knudsen 50173450 voided</t>
  </si>
  <si>
    <t>Lyle Knudsen 50173383 voided</t>
  </si>
  <si>
    <t>Lyle Knudsen 50173456voided</t>
  </si>
  <si>
    <t>Lyle Knudsen 50173733voided</t>
  </si>
  <si>
    <t>Lyle Knudsen   50173763 voided</t>
  </si>
  <si>
    <t>Lyle Knudsen 50173427voided</t>
  </si>
  <si>
    <t>Lyle Knudsen</t>
  </si>
  <si>
    <t>John Pascuzzo</t>
  </si>
  <si>
    <t>Lyle Knudsen 50173440voided</t>
  </si>
  <si>
    <t>Lyle Knudsen 50173636voided</t>
  </si>
  <si>
    <t>John Pascuzzo 50173421voided</t>
  </si>
  <si>
    <t>John Pascuzzo 50173608 voided</t>
  </si>
  <si>
    <t>John Pascuzzo 50173743voided</t>
  </si>
  <si>
    <t>John Pascuzzo 50173447voided</t>
  </si>
  <si>
    <t>John Pascuzzo 50173614voided</t>
  </si>
  <si>
    <t>Laurie Matychuk</t>
  </si>
  <si>
    <t>Kai Knudsen</t>
  </si>
  <si>
    <t>Larry Matychuk</t>
  </si>
  <si>
    <t>Marcel Tempelman</t>
  </si>
  <si>
    <t>Chris Millington</t>
  </si>
  <si>
    <t>Adam Morton</t>
  </si>
  <si>
    <t>David Moscall</t>
  </si>
  <si>
    <t>Mike Kopot</t>
  </si>
  <si>
    <t>Registration Fee</t>
  </si>
  <si>
    <t>Charles Wright</t>
  </si>
  <si>
    <t>Sumiye Sugawara</t>
  </si>
  <si>
    <t>David Moscall (Christine n Greg)</t>
  </si>
  <si>
    <t>Mary Mavar</t>
  </si>
  <si>
    <t>Leo BozPage 2</t>
  </si>
  <si>
    <t>Chris Milington</t>
  </si>
  <si>
    <t>Tony Torfe</t>
  </si>
  <si>
    <t>InV#: 2538</t>
  </si>
  <si>
    <t>Donna Hunt</t>
  </si>
  <si>
    <t>David moscall</t>
  </si>
  <si>
    <t>Suzanne Dubois</t>
  </si>
  <si>
    <t>John Pascuzzo Pledge Sheet</t>
  </si>
  <si>
    <t>John Pascuzo voided 50173643</t>
  </si>
  <si>
    <t>Walter Schincariol voided 50173621</t>
  </si>
  <si>
    <t>Diane Merkley/Pg 1Voided 50173358</t>
  </si>
  <si>
    <t>Diane Merkley/Pg 1 voided 50173585</t>
  </si>
  <si>
    <t>Diane Merkley/Pg 2 voided 50173346</t>
  </si>
  <si>
    <t>Diane Merkley/Pg 2 voided 50173759</t>
  </si>
  <si>
    <t>Diane Merkley/Pg 2 voided 50173702</t>
  </si>
  <si>
    <t>Diane Merkley/Pg 2 voided 50173554</t>
  </si>
  <si>
    <t>Diane Merkley/Pg 2 voided 50173545</t>
  </si>
  <si>
    <t>Diane Merkley/Pg 2 voided 50173284</t>
  </si>
  <si>
    <t>Diane Merkley/Pg 2 voided 50173479</t>
  </si>
  <si>
    <t>Diane Merkley/Pg 2 voided 50173591</t>
  </si>
  <si>
    <t>Diane Merkley/Pg 2 voided 50173753</t>
  </si>
  <si>
    <t>Diane Merkley/Pg 2 voided 50173429</t>
  </si>
  <si>
    <t>Diane Merkley/Pg 3 voided 50173533</t>
  </si>
  <si>
    <t>Diane Merkley/Pg 3 voided 50173403</t>
  </si>
  <si>
    <t>Diane Merkley/Pg 3 Voided 50173644</t>
  </si>
  <si>
    <t>Diane Merkley/Pg 3 voided 50173373</t>
  </si>
  <si>
    <t>Diane Merkley/Pg 3 voided 50173572</t>
  </si>
  <si>
    <t>Diane Merkley/Pg 3 voided 50173734</t>
  </si>
  <si>
    <t>Diane Merkley/Pg 3 voided 50173586</t>
  </si>
  <si>
    <t>Diane Merkley/Pg 3 voided 50173584</t>
  </si>
  <si>
    <t>Diane Merkley/Pg 3 voided 50173625</t>
  </si>
  <si>
    <t>Diane Merkley/Pg 3 voided 50173312</t>
  </si>
  <si>
    <t>Diane Merkley/Pg 3 voided 50173267</t>
  </si>
  <si>
    <t>Diane Merkley/Pg 3 voided 50173275</t>
  </si>
  <si>
    <t>Diane Merkley/Pg 3</t>
  </si>
  <si>
    <t>Diane Merkley/Pg 4 void 50173359</t>
  </si>
  <si>
    <t>Diane Merkley/Pg 4 voided 50173470</t>
  </si>
  <si>
    <t>Diane Merkley/Pg 4 voided 50173719</t>
  </si>
  <si>
    <t>Diane Merkley/Pg 4 voided 50173477</t>
  </si>
  <si>
    <t>Diane Merkley/Pg 4 voided 50173697</t>
  </si>
  <si>
    <t>Diane Merkley/Pg 4 voided 50173495</t>
  </si>
  <si>
    <t>Diane Merkley/Pg 4 Voided 50173677</t>
  </si>
  <si>
    <t>Diane Merkley/Pg 4 voided 50173380</t>
  </si>
  <si>
    <t>Diane Merkley/Pg 4 voided 50173452</t>
  </si>
  <si>
    <t>Diane Merkley/Pg 4 voided 50173605</t>
  </si>
  <si>
    <t>Diane Merkley/Pg 4 voided 50173324</t>
  </si>
  <si>
    <t>Diane Merkley/Pg 5 voided 50173310</t>
  </si>
  <si>
    <t>Diane Merkley/Pg 5 voided 50173760</t>
  </si>
  <si>
    <t>Diane Merkley/Pg 5 voided 50173648</t>
  </si>
  <si>
    <t>Diane Merkley/Pg 5 voided 50173523</t>
  </si>
  <si>
    <t>Diane Merkley/Pg 5 voided 50173278</t>
  </si>
  <si>
    <t>Diane Merkley/Pg 5 voided 50173566</t>
  </si>
  <si>
    <t>Diane Merkley/Pg 5 voided 50173754</t>
  </si>
  <si>
    <t>Diane Merkley/Pg 5 voided 50173461</t>
  </si>
  <si>
    <t>Diane Merkley/Pg 5 voided 50173713</t>
  </si>
  <si>
    <t>Diane Merkley/Pg 5 voided 50173626</t>
  </si>
  <si>
    <t>Diane Merkley/Pg 5 voided 50173583</t>
  </si>
  <si>
    <t>Diane Merkley/Pg 5 voided 50173520</t>
  </si>
  <si>
    <t>Diane Merkley/Pg 5</t>
  </si>
  <si>
    <t>Diane Merkley/Pg 6 voided 50173662</t>
  </si>
  <si>
    <t>Diane Merkley/Pg 6 voided 50173374</t>
  </si>
  <si>
    <t>Diane Merkley/Pg 6 voided 50173424</t>
  </si>
  <si>
    <t>Diane Merkley/Pg 6 voided 50173588</t>
  </si>
  <si>
    <t>Diane Merkley/Pg 6 50173463 voided</t>
  </si>
  <si>
    <t>Diane Merkley/Pg 6 voided 50173622</t>
  </si>
  <si>
    <t>Diane Merkley/Pg 6 voided 50173276</t>
  </si>
  <si>
    <t>Diane Merkley/Pg 6</t>
  </si>
  <si>
    <t>Diane Merkley/Pg 7 voided 50173749</t>
  </si>
  <si>
    <t>Diane Merkley/Pg 7 voided 50173437</t>
  </si>
  <si>
    <t>Diane Merkley/Pg 7 voided 50173606</t>
  </si>
  <si>
    <t>Diane Merkley/Pg 7 voided 50173488</t>
  </si>
  <si>
    <t>Diane Merkley/Pg 7 voided 50173489</t>
  </si>
  <si>
    <t>Diane Merkley/Pg 7 voided 50173513</t>
  </si>
  <si>
    <t>Diane Merkley/Pg 7 voided 50173698</t>
  </si>
  <si>
    <t>Diane Merkley/Pg 7 voided 50173645</t>
  </si>
  <si>
    <t>Diane Merkley/Pg 7 voided 50173646</t>
  </si>
  <si>
    <t>Diane Merkley/Pg 8 voided 50173562</t>
  </si>
  <si>
    <t>Diane Merkley/Pg 8 voided 50173758</t>
  </si>
  <si>
    <t>Diane Merkley/Pg 8 voided 50173433</t>
  </si>
  <si>
    <t>Diane Merkley/Pg 8 voided 50173589</t>
  </si>
  <si>
    <t>Diane Merkley/Pg 8 voided 50173331</t>
  </si>
  <si>
    <t>Diane Merkley/Pg 8 voided 50173573</t>
  </si>
  <si>
    <t>Diane Merkley/Pg 8 voided 50173377</t>
  </si>
  <si>
    <t>Diane Merkley/Pg 8</t>
  </si>
  <si>
    <t>Diane Merkley/Pg 9 voided 50173664</t>
  </si>
  <si>
    <t>Diane Merkley/Pg 9 voided 50173282</t>
  </si>
  <si>
    <t>Diane Merkley/Pg 9 voided 50173313</t>
  </si>
  <si>
    <t>Diane Merkley/Pg 9 voided 50173711</t>
  </si>
  <si>
    <t>Diane Merkley/Pg 9 voided 50173683</t>
  </si>
  <si>
    <t>Diane Merkley/Pg 9 voided 50173629</t>
  </si>
  <si>
    <t>Diane Merkley/Pg 9 voided 50173531</t>
  </si>
  <si>
    <t>Diane Merkley/Pg 9 voided 50173402</t>
  </si>
  <si>
    <t>Diane Merkley/Pg 9 voided 50173652</t>
  </si>
  <si>
    <t>Diane Merkley/Pg 9</t>
  </si>
  <si>
    <t>Diane Merkley/Pg10 voided 50173630</t>
  </si>
  <si>
    <t>Diane Merkley/Pg10 voided 50173329</t>
  </si>
  <si>
    <t>Diane Merkley/Pg10 voided 50173587</t>
  </si>
  <si>
    <t>Diane Merkley/Pg10 50173519 voided</t>
  </si>
  <si>
    <t>Diane Merkley/Pg10 voided 50173451</t>
  </si>
  <si>
    <t>Diane Merkley/Pg10 voided 50173375</t>
  </si>
  <si>
    <t>Diane Merkley/Pg10 voided 50173269</t>
  </si>
  <si>
    <t>Diane Merkley/Pg10</t>
  </si>
  <si>
    <t>T-Shirt MRFD 2025</t>
  </si>
  <si>
    <t>Erv Sundell voided 50173376</t>
  </si>
  <si>
    <t>Erv Sundell voided 50173319</t>
  </si>
  <si>
    <t>Erv Sundell voided 50173765</t>
  </si>
  <si>
    <t>Erv Sundell</t>
  </si>
  <si>
    <t>Erv Sundell voided 50173390</t>
  </si>
  <si>
    <t>Erv Sundell voided 50173631</t>
  </si>
  <si>
    <t>Suzanne dubois</t>
  </si>
  <si>
    <t>T-shirt Sales</t>
  </si>
  <si>
    <t>Leo Boz /Page 2</t>
  </si>
  <si>
    <t>Brent Boyko/Pg 8</t>
  </si>
  <si>
    <t>Pat Lockert/Pg 9</t>
  </si>
  <si>
    <t>Diane Merkley/Pg 1</t>
  </si>
  <si>
    <t>Diane Merkely/Pg 1</t>
  </si>
  <si>
    <t>Diane Merkley/Pg1</t>
  </si>
  <si>
    <t>Leo Boz/Pg 2</t>
  </si>
  <si>
    <t>Carol Townson/Pg 3</t>
  </si>
  <si>
    <t>Jeff Cornell/Pg 4</t>
  </si>
  <si>
    <t>Lyle Jacomb/Pg 5</t>
  </si>
  <si>
    <t>Donna Hunt/Pg 6</t>
  </si>
  <si>
    <t>Suzanne Dubois/Pg 7</t>
  </si>
  <si>
    <t>Photo Saves</t>
  </si>
  <si>
    <t>T-Shirts</t>
  </si>
  <si>
    <t>Donations</t>
  </si>
  <si>
    <t>Jean Yves Geruais/Pg1</t>
  </si>
  <si>
    <t>Jean Yves Gervais/Pg 1</t>
  </si>
  <si>
    <t>Saniye Sugawara/Pg 2</t>
  </si>
  <si>
    <t>Kevin Kennedy/Pg 3</t>
  </si>
  <si>
    <t>Krista Tompkins/Pg 4</t>
  </si>
  <si>
    <t>Mike Kapot/Pg 5</t>
  </si>
  <si>
    <t>Kevin Kennedy/Pg 3 voided 50173392</t>
  </si>
  <si>
    <t>Kevin Kennedy/Pg 3 50173663 voided</t>
  </si>
  <si>
    <t>Mike Kapot/ Pg 5 voided 50173368</t>
  </si>
  <si>
    <t>50173701Mike Kapot/ Pg 5 voided</t>
  </si>
  <si>
    <t>Mike Kapot/ Pg 5 50173322 voided</t>
  </si>
  <si>
    <t>Mike Kapot/ Pg 5 50173481 voided</t>
  </si>
  <si>
    <t>Invoice# 2543</t>
  </si>
  <si>
    <t>Ryan King</t>
  </si>
  <si>
    <t>Michael B Wilson</t>
  </si>
  <si>
    <t>Carrie Pettit</t>
  </si>
  <si>
    <t>Carrie Petit</t>
  </si>
  <si>
    <t>Invoice 2541</t>
  </si>
  <si>
    <t>John Pascuzzo / VOID 50172441</t>
  </si>
  <si>
    <t>Invoice# 2537</t>
  </si>
  <si>
    <t>Anonymous tiptap donations</t>
  </si>
  <si>
    <t>$20.00usd</t>
  </si>
  <si>
    <t>2437/02282025C</t>
  </si>
  <si>
    <t>The Secret Supper Series - Winter 2026 Wine Sponsorship</t>
  </si>
  <si>
    <t>2010 Vintage - Tenuta San Guido Sassicaia Bolgheri</t>
  </si>
  <si>
    <t>2020 Barolo Aleste 3L</t>
  </si>
  <si>
    <t>2017 Château Gruaud Larose Saint-Julien (Grand Cru Classé)</t>
  </si>
  <si>
    <t>Tommasi de Buris Riserva Amarone della Valpolicella Classico 2011</t>
  </si>
  <si>
    <t>SSS 2026 Seat Purchase</t>
  </si>
  <si>
    <t>Red Envelope Purchases</t>
  </si>
  <si>
    <t>Bottega Accademia Red Prosecco DOC &amp; Team Canada Earrings by Hillberg &amp; Berk &amp; 2011 Amarone della Valpolicella Classico De Buris Riserva</t>
  </si>
  <si>
    <t>2017 Chateau Gruaud Larose</t>
  </si>
  <si>
    <t>2020 Luciano Sandrone Aleste-Cannubi Boschis 3L</t>
  </si>
  <si>
    <t>2010 Tenuta San Guido Sassicaia Bolgheri</t>
  </si>
  <si>
    <t>Invoice# 6388</t>
  </si>
  <si>
    <t>Fine Art Photography ($100 frame, $50 print and $250 artist fee)</t>
  </si>
  <si>
    <t>$339.00 Wine Donation purchased from Tomlin and 2x $44.45 Chartreuse Green Wine Bottle</t>
  </si>
  <si>
    <t>Silver Fox Squash Cancer</t>
  </si>
  <si>
    <t>$50 US CHQ - RAte 1.3373</t>
  </si>
  <si>
    <t>Olson Family, nofurther info given given</t>
  </si>
  <si>
    <t>Preston Rachel Schaaf - no further info given</t>
  </si>
  <si>
    <t>Lynn Boyd - no further info given</t>
  </si>
  <si>
    <t>Janet's BIL - no further information given</t>
  </si>
  <si>
    <t>Hal Mickelson - No further information given</t>
  </si>
  <si>
    <t>Susan Jacobucci - No further information given</t>
  </si>
  <si>
    <t>sharon rommesmo - no further information given</t>
  </si>
  <si>
    <t>walk-in donations, 50173040 VOIDED</t>
  </si>
  <si>
    <t>$320 CHQ 106/$50 CHQ 107</t>
  </si>
  <si>
    <t>50173071 Voided - Bake Sale Proceeds</t>
  </si>
  <si>
    <t>Brad Folino</t>
  </si>
  <si>
    <t>Mark maenpaa</t>
  </si>
  <si>
    <t>Mark Maenpaa</t>
  </si>
  <si>
    <t>Darlene Watts</t>
  </si>
  <si>
    <t>B.Scott Pledges</t>
  </si>
  <si>
    <t>Joel St Jacques</t>
  </si>
  <si>
    <t>Ray Kivisto</t>
  </si>
  <si>
    <t>john johnassen</t>
  </si>
  <si>
    <t>ray kivisto</t>
  </si>
  <si>
    <t>John Johnassen</t>
  </si>
  <si>
    <t>Joel St. Jacques</t>
  </si>
  <si>
    <t>Callum Johnson</t>
  </si>
  <si>
    <t>john Jonassen</t>
  </si>
  <si>
    <t>John Jonassen</t>
  </si>
  <si>
    <t>Andrew Allen</t>
  </si>
  <si>
    <t>cody watkins</t>
  </si>
  <si>
    <t>joel st. jaques</t>
  </si>
  <si>
    <t>50171667 - VOIDED</t>
  </si>
  <si>
    <t>Cookbook</t>
  </si>
  <si>
    <t>Auth#: SOY51G/Cookbook Sales</t>
  </si>
  <si>
    <t>Art Easel 2024</t>
  </si>
  <si>
    <t>Kenny Hurshfelt Golf Tournament</t>
  </si>
  <si>
    <t>C1AuMBPqcvYX</t>
  </si>
  <si>
    <t>EFT for fundraiser</t>
  </si>
  <si>
    <t>Auth#: 006824</t>
  </si>
  <si>
    <t>Event Proceeds</t>
  </si>
  <si>
    <t>Auth#: 422781</t>
  </si>
  <si>
    <t>Seventh Fire Eagles Hockey Team (Hockey Fights Cancer Event)</t>
  </si>
  <si>
    <t>Proceeds from HSC concert</t>
  </si>
  <si>
    <t>Baby Hats Sales</t>
  </si>
  <si>
    <t>GKMJ Holdings Inc.</t>
  </si>
  <si>
    <t>donation from Wakefield Oil Change per the $1 from every oil change in Feb 2026</t>
  </si>
  <si>
    <t>Blue Sage Blooms</t>
  </si>
  <si>
    <t>Fundraiser proceeds</t>
  </si>
  <si>
    <t>Every Child Matters</t>
  </si>
  <si>
    <t>Auth#: 358100</t>
  </si>
  <si>
    <t>Rose n Crantz Roasting Co</t>
  </si>
  <si>
    <t>proceeds from fundraiser</t>
  </si>
  <si>
    <t>Mom ??</t>
  </si>
  <si>
    <t>Auth#: 109557</t>
  </si>
  <si>
    <t>Allison</t>
  </si>
  <si>
    <t>Auth# 179450</t>
  </si>
  <si>
    <t>Auth L1S6C0</t>
  </si>
  <si>
    <t>GiK (Securities)</t>
  </si>
  <si>
    <t>IMPORTANT: PLEASE MAKE A COPY OF THIS FILE BEFORE WORKING ON IT</t>
  </si>
  <si>
    <t>1. Export Data from RE Query: Reporting &gt; Legacy report query raw data</t>
  </si>
  <si>
    <t>2. Delete all information in the RAW tab</t>
  </si>
  <si>
    <t>3. Copy the exported information to the RAW tab</t>
  </si>
  <si>
    <t>4. Update the red cells</t>
  </si>
  <si>
    <t>Data marked in blue is updated automatically based on info in RAW</t>
  </si>
  <si>
    <t>data marked in red has to be updated manually, can't be exported from RE :(</t>
  </si>
  <si>
    <t>% to Goal</t>
  </si>
  <si>
    <t>Total Gifts Special Events</t>
  </si>
  <si>
    <t>Total amount Special events</t>
  </si>
  <si>
    <t>Third Party Goal</t>
  </si>
  <si>
    <t>Appeal Category</t>
  </si>
  <si>
    <t>Third Party Events</t>
  </si>
  <si>
    <t>Special Events</t>
  </si>
  <si>
    <t>Mr. Joseph &amp; Agostino</t>
  </si>
  <si>
    <t>Inv#: 2600</t>
  </si>
  <si>
    <t>Special Events Goal</t>
  </si>
  <si>
    <t>% of gifts</t>
  </si>
  <si>
    <t/>
  </si>
  <si>
    <t>Pledge Payment</t>
  </si>
  <si>
    <t>Ms. Nicole Deschamps</t>
  </si>
  <si>
    <t>Mrs. Lori Vander Ploeg</t>
  </si>
  <si>
    <t>Wendy Niccolli</t>
  </si>
  <si>
    <t>Mr. and Ms. Gabriel Tarini</t>
  </si>
  <si>
    <t>Mr. John Remus-Everitt</t>
  </si>
  <si>
    <t>Mrs. Anne Werbowetski</t>
  </si>
  <si>
    <t>Ms. and Mr. Haley Werbowetski</t>
  </si>
  <si>
    <t>Ms Shelley Graham</t>
  </si>
  <si>
    <t>Ms Shelby Wideman</t>
  </si>
  <si>
    <t>Mrs. Paige Schwiters</t>
  </si>
  <si>
    <t>Ms. Liane Garon</t>
  </si>
  <si>
    <t>Ms. Valerie Walser</t>
  </si>
  <si>
    <t>Mr. Adam Walser</t>
  </si>
  <si>
    <t>Mr. Colin Hunter</t>
  </si>
  <si>
    <t>Mr. Bruce Derauf</t>
  </si>
  <si>
    <t>Mr. David Moore</t>
  </si>
  <si>
    <t>Mr. Mike Keyes</t>
  </si>
  <si>
    <t>Mrs. Suzanne Bahar</t>
  </si>
  <si>
    <t>Mrs. Renee Vachon</t>
  </si>
  <si>
    <t>Sylvia F. Kostecki</t>
  </si>
  <si>
    <t>Mr. Malcolm &amp; Mrs. E. Muriel Squires</t>
  </si>
  <si>
    <t>Gift in Kind - Northern Cancer Fund</t>
  </si>
  <si>
    <t>Painting: "Little Falls",  M.E. Squires</t>
  </si>
  <si>
    <t>Painting: "Living on the Edge",  M.E. Squires</t>
  </si>
  <si>
    <t>Painting: "Longleaf Pines",  M.E. Squires</t>
  </si>
  <si>
    <t>Painting: "Mount Sykes",  M.E. Squires</t>
  </si>
  <si>
    <t>Painting: "Nor'Westers",  M.E. Squires</t>
  </si>
  <si>
    <t>Painting: "Scene on a Wing",  M.E. Squires</t>
  </si>
  <si>
    <t>Painting: "Links",  M.E. Squires</t>
  </si>
  <si>
    <t>Painting: "Kakabeka Falls", Richard Spooner</t>
  </si>
  <si>
    <t>Painting: "Isolated",  M.E. Squires</t>
  </si>
  <si>
    <t>Painting: "Untitled",  M.E. Squires</t>
  </si>
  <si>
    <t>Mr. Alex Kostecki</t>
  </si>
  <si>
    <t>Mr. Dan Puiatti</t>
  </si>
  <si>
    <t>Toromont Cat</t>
  </si>
  <si>
    <t>Kelsi Pettypiece</t>
  </si>
  <si>
    <t>Mr. John Gunnell</t>
  </si>
  <si>
    <t>Mrs. Tammy Lennstrom-Darson</t>
  </si>
  <si>
    <t>Mr. Terence &amp; Mrs. Sylvia Gunnell</t>
  </si>
  <si>
    <t>Mr. Bruno &amp; Mrs. Karen Belcamino</t>
  </si>
  <si>
    <t>Mrs. Britney Duchesne</t>
  </si>
  <si>
    <t>Mrs. Melina Laurin</t>
  </si>
  <si>
    <t>Mr. and Mrs. Samantha Frade</t>
  </si>
  <si>
    <t>Ms. Kristina Baraskewich</t>
  </si>
  <si>
    <t>Mrs. Erin Sisko</t>
  </si>
  <si>
    <t>Mr. Jamie Nichols</t>
  </si>
  <si>
    <t>Mr. James Mahon</t>
  </si>
  <si>
    <t>Mrs. Lynda &amp; Mr. Marshall Farquharson</t>
  </si>
  <si>
    <t>Joe Speziale</t>
  </si>
  <si>
    <t>Ms. Angie Berst</t>
  </si>
  <si>
    <t>Mrs. Suzanne Hughes</t>
  </si>
  <si>
    <t>Mr. Zachary Halushak</t>
  </si>
  <si>
    <t>Mrs. Erin Ferguson</t>
  </si>
  <si>
    <t>Mrs. Sofiya Harapyuk</t>
  </si>
  <si>
    <t>Ms. Tiffany Stubbings</t>
  </si>
  <si>
    <t>Mrs. and Mr. Rosemary Disimone</t>
  </si>
  <si>
    <t>Mrs. Nimarta Gill</t>
  </si>
  <si>
    <t>Mrs. Christine Bares</t>
  </si>
  <si>
    <t>Mrs. Lisa &amp; Mr. Keith Nutley</t>
  </si>
  <si>
    <t>Mrs. Melissa Moss</t>
  </si>
  <si>
    <t>Mr. Francis Joshua</t>
  </si>
  <si>
    <t>Ms. Shannon Hobbs</t>
  </si>
  <si>
    <t>Auth#: 090394</t>
  </si>
  <si>
    <t>Mrs. Margaret &amp; Mr. John O'Brien</t>
  </si>
  <si>
    <t>Mrs. and Mr. Karen Schincariol</t>
  </si>
  <si>
    <t>Wine Pull Sponsorship</t>
  </si>
  <si>
    <t>Mr. Dave Jones</t>
  </si>
  <si>
    <t>Secret Supper Tickets</t>
  </si>
  <si>
    <t>Mr. Dennis Davey</t>
  </si>
  <si>
    <t>Mr. Roger Matchett</t>
  </si>
  <si>
    <t>Copper Kettle Coffee House</t>
  </si>
  <si>
    <t>Renal/Hemodialysis Fund</t>
  </si>
  <si>
    <t>December, January, February fundraiser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</si>
</sst>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2" fillId="0" borderId="1" xfId="0" applyFont="1" applyBorder="1"/>
    <xf numFmtId="8" fontId="0" fillId="0" borderId="0" xfId="0" applyNumberFormat="1"/>
    <xf numFmtId="14" fontId="0" fillId="0" borderId="0" xfId="0" applyNumberFormat="1"/>
    <xf numFmtId="17" fontId="0" fillId="0" borderId="0" xfId="0" applyNumberFormat="1"/>
    <xf numFmtId="0" fontId="1" fillId="4" borderId="1" xfId="5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44" fontId="1" fillId="4" borderId="1" xfId="1" applyFill="1" applyBorder="1"/>
    <xf numFmtId="10" fontId="1" fillId="4" borderId="1" xfId="2" applyNumberFormat="1" applyFill="1" applyBorder="1"/>
    <xf numFmtId="0" fontId="2" fillId="0" borderId="1" xfId="0" applyFont="1" applyFill="1" applyBorder="1"/>
    <xf numFmtId="44" fontId="3" fillId="2" borderId="1" xfId="1" applyFont="1" applyFill="1" applyBorder="1"/>
    <xf numFmtId="9" fontId="1" fillId="4" borderId="1" xfId="5" applyNumberFormat="1" applyBorder="1"/>
    <xf numFmtId="10" fontId="1" fillId="4" borderId="1" xfId="5" applyNumberFormat="1" applyBorder="1"/>
    <xf numFmtId="10" fontId="0" fillId="0" borderId="0" xfId="0" applyNumberFormat="1"/>
    <xf numFmtId="8" fontId="1" fillId="4" borderId="4" xfId="5" applyNumberFormat="1" applyBorder="1"/>
    <xf numFmtId="0" fontId="0" fillId="0" borderId="0" xfId="0" quotePrefix="1"/>
    <xf numFmtId="0" fontId="0" fillId="0" borderId="0" xfId="0" applyBorder="1" applyAlignment="1">
      <alignment horizontal="center"/>
    </xf>
    <xf numFmtId="0" fontId="3" fillId="2" borderId="1" xfId="3" applyBorder="1" applyAlignment="1">
      <alignment horizontal="center" vertical="center" wrapText="1"/>
    </xf>
    <xf numFmtId="0" fontId="0" fillId="4" borderId="1" xfId="5" applyFont="1" applyBorder="1" applyAlignment="1">
      <alignment horizontal="center" vertical="center" wrapText="1"/>
    </xf>
    <xf numFmtId="0" fontId="1" fillId="4" borderId="1" xfId="5" applyBorder="1" applyAlignment="1">
      <alignment horizontal="center" vertical="center" wrapText="1"/>
    </xf>
    <xf numFmtId="0" fontId="4" fillId="3" borderId="1" xfId="4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20% - Accent1" xfId="5" builtinId="30"/>
    <cellStyle name="Bad" xfId="3" builtinId="27"/>
    <cellStyle name="Currency" xfId="1" builtinId="4"/>
    <cellStyle name="Neutral" xfId="4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J39"/>
  <sheetViews>
    <sheetView tabSelected="1" workbookViewId="0">
      <selection activeCell="G7" sqref="G7"/>
    </sheetView>
  </sheetViews>
  <sheetFormatPr defaultRowHeight="15" x14ac:dyDescent="0.25"/>
  <cols>
    <col min="1" max="1" width="26.42578125" customWidth="1"/>
    <col min="2" max="2" width="21.7109375" bestFit="1" customWidth="1"/>
    <col min="3" max="4" width="23.140625" bestFit="1" customWidth="1"/>
    <col min="5" max="5" width="12.5703125" bestFit="1" customWidth="1"/>
    <col min="10" max="10" width="11.42578125" customWidth="1"/>
  </cols>
  <sheetData>
    <row r="1" spans="1:10" x14ac:dyDescent="0.25">
      <c r="A1" s="19" t="s">
        <v>7</v>
      </c>
      <c r="B1" s="19"/>
      <c r="C1" s="19"/>
      <c r="D1" s="19"/>
      <c r="E1" s="19"/>
      <c r="F1" s="19"/>
    </row>
    <row r="2" spans="1:10" x14ac:dyDescent="0.25">
      <c r="A2" s="2" t="s">
        <v>1961</v>
      </c>
      <c r="B2" s="6">
        <f>COUNTIF(RAW!I:I, "Special Events")</f>
        <v>1277</v>
      </c>
      <c r="D2" s="2" t="s">
        <v>1961</v>
      </c>
      <c r="E2" s="6">
        <f>COUNTIF(RAW!I:I, "Third Party Events")</f>
        <v>593</v>
      </c>
    </row>
    <row r="3" spans="1:10" x14ac:dyDescent="0.25">
      <c r="A3" s="2" t="s">
        <v>1962</v>
      </c>
      <c r="B3" s="10">
        <f>SUMIFS(RAW!C:C,RAW!I:I, "Special Events")</f>
        <v>367015.58</v>
      </c>
      <c r="D3" s="2" t="s">
        <v>1962</v>
      </c>
      <c r="E3" s="10">
        <f>SUMIFS(RAW!C:C,RAW!I:I, "Third Party Events")</f>
        <v>323818.23</v>
      </c>
    </row>
    <row r="5" spans="1:10" x14ac:dyDescent="0.25">
      <c r="A5" s="12" t="s">
        <v>1969</v>
      </c>
      <c r="B5" s="13">
        <v>190000</v>
      </c>
      <c r="D5" s="12" t="s">
        <v>1963</v>
      </c>
      <c r="E5" s="13">
        <v>280000</v>
      </c>
      <c r="J5" s="18" t="s">
        <v>1971</v>
      </c>
    </row>
    <row r="6" spans="1:10" x14ac:dyDescent="0.25">
      <c r="A6" s="12" t="s">
        <v>1960</v>
      </c>
      <c r="B6" s="14">
        <f>B3/B5</f>
        <v>1.9316609473684212</v>
      </c>
      <c r="D6" s="12" t="s">
        <v>1960</v>
      </c>
      <c r="E6" s="11">
        <f>E3/E5</f>
        <v>1.1564936785714286</v>
      </c>
    </row>
    <row r="8" spans="1:10" x14ac:dyDescent="0.25">
      <c r="A8" s="2" t="s">
        <v>1</v>
      </c>
      <c r="B8" s="2" t="s">
        <v>5</v>
      </c>
      <c r="C8" s="2" t="s">
        <v>1970</v>
      </c>
    </row>
    <row r="9" spans="1:10" x14ac:dyDescent="0.25">
      <c r="A9" s="1" t="s">
        <v>0</v>
      </c>
      <c r="B9" s="6">
        <f>COUNTIFS(RAW!F:F, "Cash")</f>
        <v>1852</v>
      </c>
      <c r="C9" s="11">
        <f>B9/($B$2+$E$2)</f>
        <v>0.99037433155080212</v>
      </c>
    </row>
    <row r="10" spans="1:10" x14ac:dyDescent="0.25">
      <c r="A10" s="1" t="s">
        <v>1952</v>
      </c>
      <c r="B10" s="6">
        <f>COUNTIFS(RAW!F:F, "Gift-in-Kind")</f>
        <v>16</v>
      </c>
      <c r="C10" s="11">
        <f>B10/($B$2+$E$2)</f>
        <v>8.5561497326203211E-3</v>
      </c>
    </row>
    <row r="11" spans="1:10" x14ac:dyDescent="0.25">
      <c r="A11" s="1" t="s">
        <v>1565</v>
      </c>
      <c r="B11" s="6">
        <f>COUNTIFS(RAW!F:F, "Other")</f>
        <v>1</v>
      </c>
      <c r="C11" s="11">
        <f>B11/($B$2+$E$2)</f>
        <v>5.3475935828877007E-4</v>
      </c>
      <c r="D11" s="16"/>
    </row>
    <row r="12" spans="1:10" x14ac:dyDescent="0.25">
      <c r="A12" t="s">
        <v>1972</v>
      </c>
      <c r="B12" s="6">
        <f>COUNTIFS(RAW!F:F, "Pay-Cash")</f>
        <v>1</v>
      </c>
      <c r="C12" s="11">
        <f>B12/($B$2+$E$2)</f>
        <v>5.3475935828877007E-4</v>
      </c>
    </row>
    <row r="14" spans="1:10" x14ac:dyDescent="0.25">
      <c r="A14" s="2" t="s">
        <v>4</v>
      </c>
      <c r="B14" s="2" t="s">
        <v>5</v>
      </c>
      <c r="C14" s="2" t="s">
        <v>6</v>
      </c>
      <c r="D14" s="2" t="s">
        <v>4</v>
      </c>
      <c r="E14" s="2" t="s">
        <v>5</v>
      </c>
      <c r="F14" s="2" t="s">
        <v>6</v>
      </c>
    </row>
    <row r="15" spans="1:10" x14ac:dyDescent="0.25">
      <c r="A15" s="1" t="s">
        <v>304</v>
      </c>
      <c r="B15" s="17">
        <f>SUMIFS(RAW!C:C, RAW!I:I, "Special Events", RAW!B:B, A15)</f>
        <v>94315.7</v>
      </c>
      <c r="C15" s="15">
        <f>B15/$B$3</f>
        <v>0.2569800987740084</v>
      </c>
      <c r="D15" s="1" t="s">
        <v>69</v>
      </c>
      <c r="E15" s="17">
        <f>SUMIFS(RAW!C:C, RAW!I:I, "Third Party Events", RAW!B:B, D15)</f>
        <v>75616.23</v>
      </c>
      <c r="F15" s="15">
        <f t="shared" ref="F15:F38" si="0">E15/$E$3</f>
        <v>0.23351443184653317</v>
      </c>
    </row>
    <row r="16" spans="1:10" x14ac:dyDescent="0.25">
      <c r="A16" s="1" t="s">
        <v>1058</v>
      </c>
      <c r="B16" s="17">
        <f>SUMIFS(RAW!C:C, RAW!I:I, "Special Events", RAW!B:B, A16)</f>
        <v>84585.98</v>
      </c>
      <c r="C16" s="15">
        <f t="shared" ref="C16:C25" si="1">B16/$B$3</f>
        <v>0.2304697255631491</v>
      </c>
      <c r="D16" s="1" t="s">
        <v>1424</v>
      </c>
      <c r="E16" s="17">
        <f>SUMIFS(RAW!C:C, RAW!I:I, "Third Party Events", RAW!B:B, D16)</f>
        <v>46100</v>
      </c>
      <c r="F16" s="15">
        <f t="shared" si="0"/>
        <v>0.14236381935630987</v>
      </c>
    </row>
    <row r="17" spans="1:6" x14ac:dyDescent="0.25">
      <c r="A17" s="1" t="s">
        <v>260</v>
      </c>
      <c r="B17" s="17">
        <f>SUMIFS(RAW!C:C, RAW!I:I, "Special Events", RAW!B:B, A17)</f>
        <v>70802.899999999994</v>
      </c>
      <c r="C17" s="15">
        <f t="shared" si="1"/>
        <v>0.19291524354361195</v>
      </c>
      <c r="D17" s="1" t="s">
        <v>1230</v>
      </c>
      <c r="E17" s="17">
        <f>SUMIFS(RAW!C:C, RAW!I:I, "Third Party Events", RAW!B:B, D17)</f>
        <v>60423.85</v>
      </c>
      <c r="F17" s="15">
        <f t="shared" si="0"/>
        <v>0.18659804915862829</v>
      </c>
    </row>
    <row r="18" spans="1:6" x14ac:dyDescent="0.25">
      <c r="A18" s="1" t="s">
        <v>1330</v>
      </c>
      <c r="B18" s="17">
        <f>SUMIFS(RAW!C:C, RAW!I:I, "Special Events", RAW!B:B, A18)</f>
        <v>56916</v>
      </c>
      <c r="C18" s="15">
        <f t="shared" si="1"/>
        <v>0.15507788524944907</v>
      </c>
      <c r="D18" s="1" t="s">
        <v>236</v>
      </c>
      <c r="E18" s="17">
        <f>SUMIFS(RAW!C:C, RAW!I:I, "Third Party Events", RAW!B:B, D18)</f>
        <v>20878</v>
      </c>
      <c r="F18" s="15">
        <f t="shared" si="0"/>
        <v>6.4474442961410791E-2</v>
      </c>
    </row>
    <row r="19" spans="1:6" x14ac:dyDescent="0.25">
      <c r="A19" s="1" t="s">
        <v>1263</v>
      </c>
      <c r="B19" s="17">
        <f>SUMIFS(RAW!C:C, RAW!I:I, "Special Events", RAW!B:B, A19)</f>
        <v>51635</v>
      </c>
      <c r="C19" s="15">
        <f t="shared" si="1"/>
        <v>0.14068885032074113</v>
      </c>
      <c r="D19" s="1" t="s">
        <v>291</v>
      </c>
      <c r="E19" s="17">
        <f>SUMIFS(RAW!C:C, RAW!I:I, "Third Party Events", RAW!B:B, D19)</f>
        <v>20500</v>
      </c>
      <c r="F19" s="15">
        <f t="shared" si="0"/>
        <v>6.3307121405734329E-2</v>
      </c>
    </row>
    <row r="20" spans="1:6" x14ac:dyDescent="0.25">
      <c r="A20" s="1" t="s">
        <v>1057</v>
      </c>
      <c r="B20" s="17">
        <f>SUMIFS(RAW!C:C, RAW!I:I, "Special Events", RAW!B:B, A20)</f>
        <v>5000</v>
      </c>
      <c r="C20" s="15">
        <f t="shared" si="1"/>
        <v>1.3623399856758124E-2</v>
      </c>
      <c r="D20" s="1" t="s">
        <v>1247</v>
      </c>
      <c r="E20" s="17">
        <f>SUMIFS(RAW!C:C, RAW!I:I, "Third Party Events", RAW!B:B, D20)</f>
        <v>15715</v>
      </c>
      <c r="F20" s="15">
        <f t="shared" si="0"/>
        <v>4.8530312823956825E-2</v>
      </c>
    </row>
    <row r="21" spans="1:6" x14ac:dyDescent="0.25">
      <c r="A21" s="1" t="s">
        <v>303</v>
      </c>
      <c r="B21" s="17">
        <f>SUMIFS(RAW!C:C, RAW!I:I, "Special Events", RAW!B:B, A21)</f>
        <v>2300</v>
      </c>
      <c r="C21" s="15">
        <f t="shared" si="1"/>
        <v>6.2667639341087373E-3</v>
      </c>
      <c r="D21" s="1" t="s">
        <v>1503</v>
      </c>
      <c r="E21" s="17">
        <f>SUMIFS(RAW!C:C, RAW!I:I, "Third Party Events", RAW!B:B, D21)</f>
        <v>13524</v>
      </c>
      <c r="F21" s="15">
        <f t="shared" si="0"/>
        <v>4.1764171214202492E-2</v>
      </c>
    </row>
    <row r="22" spans="1:6" x14ac:dyDescent="0.25">
      <c r="A22" s="1" t="s">
        <v>290</v>
      </c>
      <c r="B22" s="17">
        <f>SUMIFS(RAW!C:C, RAW!I:I, "Special Events", RAW!B:B, A22)</f>
        <v>1000</v>
      </c>
      <c r="C22" s="15">
        <f t="shared" si="1"/>
        <v>2.7246799713516248E-3</v>
      </c>
      <c r="D22" s="1" t="s">
        <v>191</v>
      </c>
      <c r="E22" s="17">
        <f>SUMIFS(RAW!C:C, RAW!I:I, "Third Party Events", RAW!B:B, D22)</f>
        <v>13336.86</v>
      </c>
      <c r="F22" s="15">
        <f t="shared" si="0"/>
        <v>4.1186254399574726E-2</v>
      </c>
    </row>
    <row r="23" spans="1:6" x14ac:dyDescent="0.25">
      <c r="A23" s="1" t="s">
        <v>59</v>
      </c>
      <c r="B23" s="17">
        <f>SUMIFS(RAW!C:C, RAW!I:I, "Special Events", RAW!B:B, A23)</f>
        <v>260</v>
      </c>
      <c r="C23" s="15">
        <f t="shared" si="1"/>
        <v>7.084167925514224E-4</v>
      </c>
      <c r="D23" s="1" t="s">
        <v>238</v>
      </c>
      <c r="E23" s="17">
        <f>SUMIFS(RAW!C:C, RAW!I:I, "Third Party Events", RAW!B:B, D23)</f>
        <v>8694.2900000000009</v>
      </c>
      <c r="F23" s="15">
        <f t="shared" si="0"/>
        <v>2.6849291344715216E-2</v>
      </c>
    </row>
    <row r="24" spans="1:6" x14ac:dyDescent="0.25">
      <c r="A24" s="1" t="s">
        <v>1027</v>
      </c>
      <c r="B24" s="17">
        <f>SUMIFS(RAW!C:C, RAW!I:I, "Special Events", RAW!B:B, A24)</f>
        <v>100</v>
      </c>
      <c r="C24" s="15">
        <f t="shared" si="1"/>
        <v>2.724679971351625E-4</v>
      </c>
      <c r="D24" s="1" t="s">
        <v>127</v>
      </c>
      <c r="E24" s="17">
        <f>SUMIFS(RAW!C:C, RAW!I:I, "Third Party Events", RAW!B:B, D24)</f>
        <v>7342.7</v>
      </c>
      <c r="F24" s="15">
        <f t="shared" si="0"/>
        <v>2.2675375626628556E-2</v>
      </c>
    </row>
    <row r="25" spans="1:6" x14ac:dyDescent="0.25">
      <c r="A25" s="1" t="s">
        <v>288</v>
      </c>
      <c r="B25" s="17">
        <f>SUMIFS(RAW!C:C, RAW!I:I, "Special Events", RAW!B:B, A25)</f>
        <v>100</v>
      </c>
      <c r="C25" s="15">
        <f t="shared" si="1"/>
        <v>2.724679971351625E-4</v>
      </c>
      <c r="D25" s="1" t="s">
        <v>1538</v>
      </c>
      <c r="E25" s="17">
        <f>SUMIFS(RAW!C:C, RAW!I:I, "Third Party Events", RAW!B:B, D25)</f>
        <v>8456</v>
      </c>
      <c r="F25" s="15">
        <f t="shared" si="0"/>
        <v>2.6113415541799485E-2</v>
      </c>
    </row>
    <row r="26" spans="1:6" x14ac:dyDescent="0.25">
      <c r="C26" s="16">
        <f>SUM(C15:C25)</f>
        <v>0.99999999999999989</v>
      </c>
      <c r="D26" s="1" t="s">
        <v>1169</v>
      </c>
      <c r="E26" s="17">
        <f>SUMIFS(RAW!C:C, RAW!I:I, "Third Party Events", RAW!B:B, D26)</f>
        <v>6542.31</v>
      </c>
      <c r="F26" s="15">
        <f t="shared" si="0"/>
        <v>2.0203649436290234E-2</v>
      </c>
    </row>
    <row r="27" spans="1:6" x14ac:dyDescent="0.25">
      <c r="D27" s="1" t="s">
        <v>1171</v>
      </c>
      <c r="E27" s="17">
        <f>SUMIFS(RAW!C:C, RAW!I:I, "Third Party Events", RAW!B:B, D27)</f>
        <v>6000</v>
      </c>
      <c r="F27" s="15">
        <f t="shared" si="0"/>
        <v>1.8528913582166143E-2</v>
      </c>
    </row>
    <row r="28" spans="1:6" x14ac:dyDescent="0.25">
      <c r="D28" s="1" t="s">
        <v>1196</v>
      </c>
      <c r="E28" s="17">
        <f>SUMIFS(RAW!C:C, RAW!I:I, "Third Party Events", RAW!B:B, D28)</f>
        <v>5375</v>
      </c>
      <c r="F28" s="15">
        <f t="shared" si="0"/>
        <v>1.6598818417357171E-2</v>
      </c>
    </row>
    <row r="29" spans="1:6" x14ac:dyDescent="0.25">
      <c r="D29" s="1" t="s">
        <v>1238</v>
      </c>
      <c r="E29" s="17">
        <f>SUMIFS(RAW!C:C, RAW!I:I, "Third Party Events", RAW!B:B, D29)</f>
        <v>3000</v>
      </c>
      <c r="F29" s="15">
        <f t="shared" si="0"/>
        <v>9.2644567910830714E-3</v>
      </c>
    </row>
    <row r="30" spans="1:6" x14ac:dyDescent="0.25">
      <c r="D30" s="1" t="s">
        <v>1393</v>
      </c>
      <c r="E30" s="17">
        <f>SUMIFS(RAW!C:C, RAW!I:I, "Third Party Events", RAW!B:B, D30)</f>
        <v>2937.05</v>
      </c>
      <c r="F30" s="15">
        <f t="shared" si="0"/>
        <v>9.0700576060835127E-3</v>
      </c>
    </row>
    <row r="31" spans="1:6" x14ac:dyDescent="0.25">
      <c r="D31" s="1" t="s">
        <v>1505</v>
      </c>
      <c r="E31" s="17">
        <f>SUMIFS(RAW!C:C, RAW!I:I, "Third Party Events", RAW!B:B, D31)</f>
        <v>2700</v>
      </c>
      <c r="F31" s="15">
        <f t="shared" si="0"/>
        <v>8.3380111119747656E-3</v>
      </c>
    </row>
    <row r="32" spans="1:6" x14ac:dyDescent="0.25">
      <c r="D32" s="1" t="s">
        <v>1235</v>
      </c>
      <c r="E32" s="17">
        <f>SUMIFS(RAW!C:C, RAW!I:I, "Third Party Events", RAW!B:B, D32)</f>
        <v>2000</v>
      </c>
      <c r="F32" s="15">
        <f t="shared" si="0"/>
        <v>6.1763045273887148E-3</v>
      </c>
    </row>
    <row r="33" spans="4:6" x14ac:dyDescent="0.25">
      <c r="D33" s="1" t="s">
        <v>293</v>
      </c>
      <c r="E33" s="17">
        <f>SUMIFS(RAW!C:C, RAW!I:I, "Third Party Events", RAW!B:B, D33)</f>
        <v>1783.56</v>
      </c>
      <c r="F33" s="15">
        <f t="shared" si="0"/>
        <v>5.5079048514347076E-3</v>
      </c>
    </row>
    <row r="34" spans="4:6" x14ac:dyDescent="0.25">
      <c r="D34" s="1" t="s">
        <v>1240</v>
      </c>
      <c r="E34" s="17">
        <f>SUMIFS(RAW!C:C, RAW!I:I, "Third Party Events", RAW!B:B, D34)</f>
        <v>1200</v>
      </c>
      <c r="F34" s="15">
        <f t="shared" si="0"/>
        <v>3.7057827164332286E-3</v>
      </c>
    </row>
    <row r="35" spans="4:6" x14ac:dyDescent="0.25">
      <c r="D35" s="1" t="s">
        <v>1262</v>
      </c>
      <c r="E35" s="17">
        <f>SUMIFS(RAW!C:C, RAW!I:I, "Third Party Events", RAW!B:B, D35)</f>
        <v>1000</v>
      </c>
      <c r="F35" s="15">
        <f t="shared" si="0"/>
        <v>3.0881522636943574E-3</v>
      </c>
    </row>
    <row r="36" spans="4:6" x14ac:dyDescent="0.25">
      <c r="D36" s="1" t="s">
        <v>256</v>
      </c>
      <c r="E36" s="17">
        <f>SUMIFS(RAW!C:C, RAW!I:I, "Third Party Events", RAW!B:B, D36)</f>
        <v>282</v>
      </c>
      <c r="F36" s="15">
        <f t="shared" si="0"/>
        <v>8.7085893836180879E-4</v>
      </c>
    </row>
    <row r="37" spans="4:6" x14ac:dyDescent="0.25">
      <c r="D37" s="1" t="s">
        <v>1033</v>
      </c>
      <c r="E37" s="17">
        <f>SUMIFS(RAW!C:C, RAW!I:I, "Third Party Events", RAW!B:B, D37)</f>
        <v>241.38</v>
      </c>
      <c r="F37" s="15">
        <f t="shared" si="0"/>
        <v>7.4541819341054395E-4</v>
      </c>
    </row>
    <row r="38" spans="4:6" x14ac:dyDescent="0.25">
      <c r="D38" s="1" t="s">
        <v>120</v>
      </c>
      <c r="E38" s="17">
        <f>SUMIFS(RAW!C:C, RAW!I:I, "Third Party Events", RAW!B:B, D38)</f>
        <v>170</v>
      </c>
      <c r="F38" s="15">
        <f t="shared" si="0"/>
        <v>5.2498588482804075E-4</v>
      </c>
    </row>
    <row r="39" spans="4:6" x14ac:dyDescent="0.25">
      <c r="F39" s="16">
        <f>SUM(F15:F38)</f>
        <v>1.0000000000000002</v>
      </c>
    </row>
  </sheetData>
  <mergeCells count="1">
    <mergeCell ref="A1:F1"/>
  </mergeCells>
  <pageMargins left="0.7" right="0.7" top="0.75" bottom="0.75" header="0.3" footer="0.3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I3653"/>
  <sheetViews>
    <sheetView zoomScale="95" zoomScaleNormal="95" workbookViewId="0">
      <selection sqref="A1:I1871"/>
    </sheetView>
  </sheetViews>
  <sheetFormatPr defaultRowHeight="15" x14ac:dyDescent="0.25"/>
  <cols>
    <col min="1" max="1" width="48.42578125" customWidth="1"/>
    <col min="2" max="2" width="17.85546875" customWidth="1"/>
    <col min="3" max="3" width="20.28515625" customWidth="1"/>
    <col min="4" max="4" width="36.5703125" customWidth="1"/>
    <col min="5" max="5" width="8.7109375" customWidth="1"/>
    <col min="6" max="6" width="11.42578125" customWidth="1"/>
    <col min="7" max="7" width="38.85546875" customWidth="1"/>
    <col min="8" max="8" width="11" bestFit="1" customWidth="1"/>
    <col min="9" max="9" width="17.140625" customWidth="1"/>
  </cols>
  <sheetData>
    <row r="1" spans="1:9" x14ac:dyDescent="0.25">
      <c r="A1" t="s">
        <v>1560</v>
      </c>
      <c r="B1" t="s">
        <v>1559</v>
      </c>
      <c r="C1" t="s">
        <v>1558</v>
      </c>
      <c r="D1" t="s">
        <v>1557</v>
      </c>
      <c r="E1" t="s">
        <v>1561</v>
      </c>
      <c r="F1" t="s">
        <v>1</v>
      </c>
      <c r="G1" t="s">
        <v>1566</v>
      </c>
      <c r="H1" t="s">
        <v>1567</v>
      </c>
      <c r="I1" t="s">
        <v>1964</v>
      </c>
    </row>
    <row r="2" spans="1:9" x14ac:dyDescent="0.25">
      <c r="A2" t="s">
        <v>1556</v>
      </c>
      <c r="B2" t="s">
        <v>1538</v>
      </c>
      <c r="C2" s="3">
        <v>100</v>
      </c>
      <c r="D2" t="s">
        <v>17</v>
      </c>
      <c r="E2">
        <v>548126</v>
      </c>
      <c r="F2" t="s">
        <v>1562</v>
      </c>
      <c r="H2" s="4">
        <v>46056</v>
      </c>
      <c r="I2" t="s">
        <v>1965</v>
      </c>
    </row>
    <row r="3" spans="1:9" x14ac:dyDescent="0.25">
      <c r="A3" t="s">
        <v>1555</v>
      </c>
      <c r="B3" t="s">
        <v>1538</v>
      </c>
      <c r="C3" s="3">
        <v>50</v>
      </c>
      <c r="D3" t="s">
        <v>17</v>
      </c>
      <c r="E3">
        <v>548137</v>
      </c>
      <c r="F3" t="s">
        <v>1562</v>
      </c>
      <c r="H3" s="4">
        <v>46056</v>
      </c>
      <c r="I3" t="s">
        <v>1965</v>
      </c>
    </row>
    <row r="4" spans="1:9" x14ac:dyDescent="0.25">
      <c r="A4" t="s">
        <v>1554</v>
      </c>
      <c r="B4" t="s">
        <v>1538</v>
      </c>
      <c r="C4" s="3">
        <v>25</v>
      </c>
      <c r="D4" t="s">
        <v>17</v>
      </c>
      <c r="E4">
        <v>548138</v>
      </c>
      <c r="F4" t="s">
        <v>1562</v>
      </c>
      <c r="H4" s="4">
        <v>46056</v>
      </c>
      <c r="I4" t="s">
        <v>1965</v>
      </c>
    </row>
    <row r="5" spans="1:9" x14ac:dyDescent="0.25">
      <c r="A5" t="s">
        <v>1553</v>
      </c>
      <c r="B5" t="s">
        <v>1538</v>
      </c>
      <c r="C5" s="3">
        <v>25</v>
      </c>
      <c r="D5" t="s">
        <v>17</v>
      </c>
      <c r="E5">
        <v>548139</v>
      </c>
      <c r="F5" t="s">
        <v>1562</v>
      </c>
      <c r="H5" s="4">
        <v>46056</v>
      </c>
      <c r="I5" t="s">
        <v>1965</v>
      </c>
    </row>
    <row r="6" spans="1:9" x14ac:dyDescent="0.25">
      <c r="A6" t="s">
        <v>676</v>
      </c>
      <c r="B6" t="s">
        <v>1538</v>
      </c>
      <c r="C6" s="3">
        <v>50</v>
      </c>
      <c r="D6" t="s">
        <v>17</v>
      </c>
      <c r="E6">
        <v>548140</v>
      </c>
      <c r="F6" t="s">
        <v>1562</v>
      </c>
      <c r="H6" s="4">
        <v>46056</v>
      </c>
      <c r="I6" t="s">
        <v>1965</v>
      </c>
    </row>
    <row r="7" spans="1:9" x14ac:dyDescent="0.25">
      <c r="A7" t="s">
        <v>1552</v>
      </c>
      <c r="B7" t="s">
        <v>1538</v>
      </c>
      <c r="C7" s="3">
        <v>25</v>
      </c>
      <c r="D7" t="s">
        <v>17</v>
      </c>
      <c r="E7">
        <v>548141</v>
      </c>
      <c r="F7" t="s">
        <v>1562</v>
      </c>
      <c r="H7" s="4">
        <v>46056</v>
      </c>
      <c r="I7" t="s">
        <v>1965</v>
      </c>
    </row>
    <row r="8" spans="1:9" x14ac:dyDescent="0.25">
      <c r="A8" t="s">
        <v>1551</v>
      </c>
      <c r="B8" t="s">
        <v>1538</v>
      </c>
      <c r="C8" s="3">
        <v>25</v>
      </c>
      <c r="D8" t="s">
        <v>17</v>
      </c>
      <c r="E8">
        <v>548176</v>
      </c>
      <c r="F8" t="s">
        <v>1562</v>
      </c>
      <c r="H8" s="4">
        <v>46059</v>
      </c>
      <c r="I8" t="s">
        <v>1965</v>
      </c>
    </row>
    <row r="9" spans="1:9" x14ac:dyDescent="0.25">
      <c r="A9" t="s">
        <v>1550</v>
      </c>
      <c r="B9" t="s">
        <v>1538</v>
      </c>
      <c r="C9" s="3">
        <v>75</v>
      </c>
      <c r="D9" t="s">
        <v>17</v>
      </c>
      <c r="E9">
        <v>548298</v>
      </c>
      <c r="F9" t="s">
        <v>1562</v>
      </c>
      <c r="H9" s="4">
        <v>46064</v>
      </c>
      <c r="I9" t="s">
        <v>1965</v>
      </c>
    </row>
    <row r="10" spans="1:9" x14ac:dyDescent="0.25">
      <c r="A10" t="s">
        <v>1549</v>
      </c>
      <c r="B10" t="s">
        <v>1538</v>
      </c>
      <c r="C10" s="3">
        <v>50</v>
      </c>
      <c r="D10" t="s">
        <v>17</v>
      </c>
      <c r="E10">
        <v>548299</v>
      </c>
      <c r="F10" t="s">
        <v>1562</v>
      </c>
      <c r="H10" s="4">
        <v>46064</v>
      </c>
      <c r="I10" t="s">
        <v>1965</v>
      </c>
    </row>
    <row r="11" spans="1:9" x14ac:dyDescent="0.25">
      <c r="A11" t="s">
        <v>1548</v>
      </c>
      <c r="B11" t="s">
        <v>1538</v>
      </c>
      <c r="C11" s="3">
        <v>50</v>
      </c>
      <c r="D11" t="s">
        <v>17</v>
      </c>
      <c r="E11">
        <v>548300</v>
      </c>
      <c r="F11" t="s">
        <v>1562</v>
      </c>
      <c r="H11" s="4">
        <v>46064</v>
      </c>
      <c r="I11" t="s">
        <v>1965</v>
      </c>
    </row>
    <row r="12" spans="1:9" x14ac:dyDescent="0.25">
      <c r="A12" t="s">
        <v>1547</v>
      </c>
      <c r="B12" t="s">
        <v>1538</v>
      </c>
      <c r="C12" s="3">
        <v>50</v>
      </c>
      <c r="D12" t="s">
        <v>17</v>
      </c>
      <c r="E12">
        <v>548306</v>
      </c>
      <c r="F12" t="s">
        <v>1562</v>
      </c>
      <c r="H12" s="4">
        <v>46065</v>
      </c>
      <c r="I12" t="s">
        <v>1965</v>
      </c>
    </row>
    <row r="13" spans="1:9" x14ac:dyDescent="0.25">
      <c r="A13" t="s">
        <v>1502</v>
      </c>
      <c r="B13" t="s">
        <v>1538</v>
      </c>
      <c r="C13" s="3">
        <v>50</v>
      </c>
      <c r="D13" t="s">
        <v>17</v>
      </c>
      <c r="E13">
        <v>548307</v>
      </c>
      <c r="F13" t="s">
        <v>1562</v>
      </c>
      <c r="H13" s="4">
        <v>46065</v>
      </c>
      <c r="I13" t="s">
        <v>1965</v>
      </c>
    </row>
    <row r="14" spans="1:9" x14ac:dyDescent="0.25">
      <c r="A14" t="s">
        <v>1546</v>
      </c>
      <c r="B14" t="s">
        <v>1538</v>
      </c>
      <c r="C14" s="3">
        <v>50</v>
      </c>
      <c r="D14" t="s">
        <v>17</v>
      </c>
      <c r="E14">
        <v>548310</v>
      </c>
      <c r="F14" t="s">
        <v>1562</v>
      </c>
      <c r="H14" s="4">
        <v>46066</v>
      </c>
      <c r="I14" t="s">
        <v>1965</v>
      </c>
    </row>
    <row r="15" spans="1:9" x14ac:dyDescent="0.25">
      <c r="A15" t="s">
        <v>664</v>
      </c>
      <c r="B15" t="s">
        <v>1538</v>
      </c>
      <c r="C15" s="3">
        <v>50</v>
      </c>
      <c r="D15" t="s">
        <v>17</v>
      </c>
      <c r="E15">
        <v>548431</v>
      </c>
      <c r="F15" t="s">
        <v>1562</v>
      </c>
      <c r="H15" s="4">
        <v>46071</v>
      </c>
      <c r="I15" t="s">
        <v>1965</v>
      </c>
    </row>
    <row r="16" spans="1:9" x14ac:dyDescent="0.25">
      <c r="A16" t="s">
        <v>277</v>
      </c>
      <c r="B16" t="s">
        <v>1538</v>
      </c>
      <c r="C16" s="3">
        <v>5000</v>
      </c>
      <c r="D16" t="s">
        <v>17</v>
      </c>
      <c r="E16">
        <v>548434</v>
      </c>
      <c r="F16" t="s">
        <v>1562</v>
      </c>
      <c r="H16" s="4">
        <v>46073</v>
      </c>
      <c r="I16" t="s">
        <v>1965</v>
      </c>
    </row>
    <row r="17" spans="1:9" x14ac:dyDescent="0.25">
      <c r="A17" t="s">
        <v>1545</v>
      </c>
      <c r="B17" t="s">
        <v>1538</v>
      </c>
      <c r="C17" s="3">
        <v>25</v>
      </c>
      <c r="D17" t="s">
        <v>2</v>
      </c>
      <c r="E17">
        <v>548908</v>
      </c>
      <c r="F17" t="s">
        <v>1562</v>
      </c>
      <c r="G17" t="s">
        <v>1568</v>
      </c>
      <c r="H17" s="4">
        <v>46075</v>
      </c>
      <c r="I17" t="s">
        <v>1965</v>
      </c>
    </row>
    <row r="18" spans="1:9" x14ac:dyDescent="0.25">
      <c r="A18" t="s">
        <v>1111</v>
      </c>
      <c r="B18" t="s">
        <v>1538</v>
      </c>
      <c r="C18" s="3">
        <v>50</v>
      </c>
      <c r="D18" t="s">
        <v>17</v>
      </c>
      <c r="E18">
        <v>549145</v>
      </c>
      <c r="F18" t="s">
        <v>1562</v>
      </c>
      <c r="H18" s="4">
        <v>46078</v>
      </c>
      <c r="I18" t="s">
        <v>1965</v>
      </c>
    </row>
    <row r="19" spans="1:9" x14ac:dyDescent="0.25">
      <c r="A19" t="s">
        <v>1542</v>
      </c>
      <c r="B19" t="s">
        <v>1538</v>
      </c>
      <c r="C19" s="3">
        <v>50</v>
      </c>
      <c r="D19" t="s">
        <v>17</v>
      </c>
      <c r="E19">
        <v>549146</v>
      </c>
      <c r="F19" t="s">
        <v>1562</v>
      </c>
      <c r="H19" s="4">
        <v>46078</v>
      </c>
      <c r="I19" t="s">
        <v>1965</v>
      </c>
    </row>
    <row r="20" spans="1:9" x14ac:dyDescent="0.25">
      <c r="A20" t="s">
        <v>1544</v>
      </c>
      <c r="B20" t="s">
        <v>1538</v>
      </c>
      <c r="C20" s="3">
        <v>25</v>
      </c>
      <c r="D20" t="s">
        <v>17</v>
      </c>
      <c r="E20">
        <v>549151</v>
      </c>
      <c r="F20" t="s">
        <v>1562</v>
      </c>
      <c r="H20" s="4">
        <v>46078</v>
      </c>
      <c r="I20" t="s">
        <v>1965</v>
      </c>
    </row>
    <row r="21" spans="1:9" x14ac:dyDescent="0.25">
      <c r="A21" t="s">
        <v>1543</v>
      </c>
      <c r="B21" t="s">
        <v>1538</v>
      </c>
      <c r="C21" s="3">
        <v>25</v>
      </c>
      <c r="D21" t="s">
        <v>17</v>
      </c>
      <c r="E21">
        <v>549152</v>
      </c>
      <c r="F21" t="s">
        <v>1562</v>
      </c>
      <c r="H21" s="4">
        <v>46078</v>
      </c>
      <c r="I21" t="s">
        <v>1965</v>
      </c>
    </row>
    <row r="22" spans="1:9" x14ac:dyDescent="0.25">
      <c r="A22" t="s">
        <v>1541</v>
      </c>
      <c r="B22" t="s">
        <v>1538</v>
      </c>
      <c r="C22" s="3">
        <v>25</v>
      </c>
      <c r="D22" t="s">
        <v>17</v>
      </c>
      <c r="E22">
        <v>549148</v>
      </c>
      <c r="F22" t="s">
        <v>1562</v>
      </c>
      <c r="H22" s="4">
        <v>46078</v>
      </c>
      <c r="I22" t="s">
        <v>1965</v>
      </c>
    </row>
    <row r="23" spans="1:9" x14ac:dyDescent="0.25">
      <c r="A23" t="s">
        <v>1540</v>
      </c>
      <c r="B23" t="s">
        <v>1538</v>
      </c>
      <c r="C23" s="3">
        <v>25</v>
      </c>
      <c r="D23" t="s">
        <v>17</v>
      </c>
      <c r="E23">
        <v>549174</v>
      </c>
      <c r="F23" t="s">
        <v>1562</v>
      </c>
      <c r="H23" s="4">
        <v>46080</v>
      </c>
      <c r="I23" t="s">
        <v>1965</v>
      </c>
    </row>
    <row r="24" spans="1:9" x14ac:dyDescent="0.25">
      <c r="A24" t="s">
        <v>1539</v>
      </c>
      <c r="B24" t="s">
        <v>1538</v>
      </c>
      <c r="C24" s="3">
        <v>50</v>
      </c>
      <c r="D24" t="s">
        <v>17</v>
      </c>
      <c r="E24">
        <v>549175</v>
      </c>
      <c r="F24" t="s">
        <v>1562</v>
      </c>
      <c r="H24" s="4">
        <v>46080</v>
      </c>
      <c r="I24" t="s">
        <v>1965</v>
      </c>
    </row>
    <row r="25" spans="1:9" x14ac:dyDescent="0.25">
      <c r="A25" t="s">
        <v>1305</v>
      </c>
      <c r="B25" t="s">
        <v>1538</v>
      </c>
      <c r="C25" s="3">
        <v>5</v>
      </c>
      <c r="D25" t="s">
        <v>17</v>
      </c>
      <c r="E25">
        <v>549176</v>
      </c>
      <c r="F25" t="s">
        <v>1562</v>
      </c>
      <c r="H25" s="4">
        <v>46080</v>
      </c>
      <c r="I25" t="s">
        <v>1965</v>
      </c>
    </row>
    <row r="26" spans="1:9" x14ac:dyDescent="0.25">
      <c r="A26" t="s">
        <v>126</v>
      </c>
      <c r="B26" t="s">
        <v>1538</v>
      </c>
      <c r="C26" s="3">
        <v>100</v>
      </c>
      <c r="D26" t="s">
        <v>17</v>
      </c>
      <c r="E26">
        <v>549177</v>
      </c>
      <c r="F26" t="s">
        <v>1562</v>
      </c>
      <c r="H26" s="4">
        <v>46080</v>
      </c>
      <c r="I26" t="s">
        <v>1965</v>
      </c>
    </row>
    <row r="27" spans="1:9" x14ac:dyDescent="0.25">
      <c r="A27" t="s">
        <v>1569</v>
      </c>
      <c r="B27" t="s">
        <v>1538</v>
      </c>
      <c r="C27" s="3">
        <v>100</v>
      </c>
      <c r="D27" t="s">
        <v>17</v>
      </c>
      <c r="E27">
        <v>549307</v>
      </c>
      <c r="F27" t="s">
        <v>1562</v>
      </c>
      <c r="H27" s="4">
        <v>46086</v>
      </c>
      <c r="I27" t="s">
        <v>1965</v>
      </c>
    </row>
    <row r="28" spans="1:9" x14ac:dyDescent="0.25">
      <c r="A28" t="s">
        <v>1570</v>
      </c>
      <c r="B28" t="s">
        <v>1538</v>
      </c>
      <c r="C28" s="3">
        <v>100</v>
      </c>
      <c r="D28" t="s">
        <v>17</v>
      </c>
      <c r="E28">
        <v>549308</v>
      </c>
      <c r="F28" t="s">
        <v>1562</v>
      </c>
      <c r="H28" s="4">
        <v>46086</v>
      </c>
      <c r="I28" t="s">
        <v>1965</v>
      </c>
    </row>
    <row r="29" spans="1:9" x14ac:dyDescent="0.25">
      <c r="A29" t="s">
        <v>1571</v>
      </c>
      <c r="B29" t="s">
        <v>1538</v>
      </c>
      <c r="C29" s="3">
        <v>10</v>
      </c>
      <c r="D29" t="s">
        <v>17</v>
      </c>
      <c r="E29">
        <v>549309</v>
      </c>
      <c r="F29" t="s">
        <v>1562</v>
      </c>
      <c r="H29" s="4">
        <v>46086</v>
      </c>
      <c r="I29" t="s">
        <v>1965</v>
      </c>
    </row>
    <row r="30" spans="1:9" x14ac:dyDescent="0.25">
      <c r="A30" t="s">
        <v>1572</v>
      </c>
      <c r="B30" t="s">
        <v>1538</v>
      </c>
      <c r="C30" s="3">
        <v>25</v>
      </c>
      <c r="D30" t="s">
        <v>17</v>
      </c>
      <c r="E30">
        <v>549310</v>
      </c>
      <c r="F30" t="s">
        <v>1562</v>
      </c>
      <c r="H30" s="4">
        <v>46086</v>
      </c>
      <c r="I30" t="s">
        <v>1965</v>
      </c>
    </row>
    <row r="31" spans="1:9" x14ac:dyDescent="0.25">
      <c r="A31" t="s">
        <v>1573</v>
      </c>
      <c r="B31" t="s">
        <v>1538</v>
      </c>
      <c r="C31" s="3">
        <v>100</v>
      </c>
      <c r="D31" t="s">
        <v>17</v>
      </c>
      <c r="E31">
        <v>549311</v>
      </c>
      <c r="F31" t="s">
        <v>1562</v>
      </c>
      <c r="H31" s="4">
        <v>46086</v>
      </c>
      <c r="I31" t="s">
        <v>1965</v>
      </c>
    </row>
    <row r="32" spans="1:9" x14ac:dyDescent="0.25">
      <c r="A32" t="s">
        <v>1574</v>
      </c>
      <c r="B32" t="s">
        <v>1538</v>
      </c>
      <c r="C32" s="3">
        <v>25</v>
      </c>
      <c r="D32" t="s">
        <v>17</v>
      </c>
      <c r="E32">
        <v>549312</v>
      </c>
      <c r="F32" t="s">
        <v>1562</v>
      </c>
      <c r="H32" s="4">
        <v>46086</v>
      </c>
      <c r="I32" t="s">
        <v>1965</v>
      </c>
    </row>
    <row r="33" spans="1:9" x14ac:dyDescent="0.25">
      <c r="A33" t="s">
        <v>1575</v>
      </c>
      <c r="B33" t="s">
        <v>1538</v>
      </c>
      <c r="C33" s="3">
        <v>50</v>
      </c>
      <c r="D33" t="s">
        <v>17</v>
      </c>
      <c r="E33">
        <v>549313</v>
      </c>
      <c r="F33" t="s">
        <v>1562</v>
      </c>
      <c r="H33" s="4">
        <v>46090</v>
      </c>
      <c r="I33" t="s">
        <v>1965</v>
      </c>
    </row>
    <row r="34" spans="1:9" x14ac:dyDescent="0.25">
      <c r="A34" t="s">
        <v>1046</v>
      </c>
      <c r="B34" t="s">
        <v>1538</v>
      </c>
      <c r="C34" s="3">
        <v>50</v>
      </c>
      <c r="D34" t="s">
        <v>17</v>
      </c>
      <c r="E34">
        <v>549314</v>
      </c>
      <c r="F34" t="s">
        <v>1562</v>
      </c>
      <c r="H34" s="4">
        <v>46090</v>
      </c>
      <c r="I34" t="s">
        <v>1965</v>
      </c>
    </row>
    <row r="35" spans="1:9" x14ac:dyDescent="0.25">
      <c r="A35" t="s">
        <v>1576</v>
      </c>
      <c r="B35" t="s">
        <v>1538</v>
      </c>
      <c r="C35" s="3">
        <v>20</v>
      </c>
      <c r="D35" t="s">
        <v>17</v>
      </c>
      <c r="E35">
        <v>549287</v>
      </c>
      <c r="F35" t="s">
        <v>1562</v>
      </c>
      <c r="G35" t="s">
        <v>1577</v>
      </c>
      <c r="H35" s="4">
        <v>46090</v>
      </c>
      <c r="I35" t="s">
        <v>1965</v>
      </c>
    </row>
    <row r="36" spans="1:9" x14ac:dyDescent="0.25">
      <c r="A36" t="s">
        <v>272</v>
      </c>
      <c r="B36" t="s">
        <v>1538</v>
      </c>
      <c r="C36" s="3">
        <v>200</v>
      </c>
      <c r="D36" t="s">
        <v>17</v>
      </c>
      <c r="E36">
        <v>549288</v>
      </c>
      <c r="F36" t="s">
        <v>1562</v>
      </c>
      <c r="G36" t="s">
        <v>1577</v>
      </c>
      <c r="H36" s="4">
        <v>46090</v>
      </c>
      <c r="I36" t="s">
        <v>1965</v>
      </c>
    </row>
    <row r="37" spans="1:9" x14ac:dyDescent="0.25">
      <c r="A37" t="s">
        <v>1578</v>
      </c>
      <c r="B37" t="s">
        <v>1538</v>
      </c>
      <c r="C37" s="3">
        <v>10</v>
      </c>
      <c r="D37" t="s">
        <v>17</v>
      </c>
      <c r="E37">
        <v>549289</v>
      </c>
      <c r="F37" t="s">
        <v>1562</v>
      </c>
      <c r="G37" t="s">
        <v>1577</v>
      </c>
      <c r="H37" s="4">
        <v>46090</v>
      </c>
      <c r="I37" t="s">
        <v>1965</v>
      </c>
    </row>
    <row r="38" spans="1:9" x14ac:dyDescent="0.25">
      <c r="A38" t="s">
        <v>1579</v>
      </c>
      <c r="B38" t="s">
        <v>1538</v>
      </c>
      <c r="C38" s="3">
        <v>10</v>
      </c>
      <c r="D38" t="s">
        <v>17</v>
      </c>
      <c r="E38">
        <v>549290</v>
      </c>
      <c r="F38" t="s">
        <v>1562</v>
      </c>
      <c r="G38" t="s">
        <v>1577</v>
      </c>
      <c r="H38" s="4">
        <v>46090</v>
      </c>
      <c r="I38" t="s">
        <v>1965</v>
      </c>
    </row>
    <row r="39" spans="1:9" x14ac:dyDescent="0.25">
      <c r="A39" t="s">
        <v>14</v>
      </c>
      <c r="B39" t="s">
        <v>1538</v>
      </c>
      <c r="C39" s="3">
        <v>155</v>
      </c>
      <c r="D39" t="s">
        <v>17</v>
      </c>
      <c r="E39">
        <v>549291</v>
      </c>
      <c r="F39" t="s">
        <v>1562</v>
      </c>
      <c r="G39" t="s">
        <v>1577</v>
      </c>
      <c r="H39" s="4">
        <v>46090</v>
      </c>
      <c r="I39" t="s">
        <v>1965</v>
      </c>
    </row>
    <row r="40" spans="1:9" x14ac:dyDescent="0.25">
      <c r="A40" t="s">
        <v>1973</v>
      </c>
      <c r="B40" t="s">
        <v>1538</v>
      </c>
      <c r="C40" s="3">
        <v>25</v>
      </c>
      <c r="D40" t="s">
        <v>17</v>
      </c>
      <c r="E40">
        <v>549386</v>
      </c>
      <c r="F40" t="s">
        <v>1562</v>
      </c>
      <c r="H40" s="4">
        <v>46091</v>
      </c>
      <c r="I40" t="s">
        <v>1965</v>
      </c>
    </row>
    <row r="41" spans="1:9" x14ac:dyDescent="0.25">
      <c r="A41" t="s">
        <v>1092</v>
      </c>
      <c r="B41" t="s">
        <v>1538</v>
      </c>
      <c r="C41" s="3">
        <v>100</v>
      </c>
      <c r="D41" t="s">
        <v>17</v>
      </c>
      <c r="E41">
        <v>549387</v>
      </c>
      <c r="F41" t="s">
        <v>1562</v>
      </c>
      <c r="H41" s="4">
        <v>46091</v>
      </c>
      <c r="I41" t="s">
        <v>1965</v>
      </c>
    </row>
    <row r="42" spans="1:9" x14ac:dyDescent="0.25">
      <c r="A42" t="s">
        <v>1974</v>
      </c>
      <c r="B42" t="s">
        <v>1538</v>
      </c>
      <c r="C42" s="3">
        <v>100</v>
      </c>
      <c r="D42" t="s">
        <v>17</v>
      </c>
      <c r="E42">
        <v>549388</v>
      </c>
      <c r="F42" t="s">
        <v>1562</v>
      </c>
      <c r="H42" s="4">
        <v>46091</v>
      </c>
      <c r="I42" t="s">
        <v>1965</v>
      </c>
    </row>
    <row r="43" spans="1:9" x14ac:dyDescent="0.25">
      <c r="A43" t="s">
        <v>1975</v>
      </c>
      <c r="B43" t="s">
        <v>1538</v>
      </c>
      <c r="C43" s="3">
        <v>25</v>
      </c>
      <c r="D43" t="s">
        <v>17</v>
      </c>
      <c r="E43">
        <v>549389</v>
      </c>
      <c r="F43" t="s">
        <v>1562</v>
      </c>
      <c r="H43" s="4">
        <v>46091</v>
      </c>
      <c r="I43" t="s">
        <v>1965</v>
      </c>
    </row>
    <row r="44" spans="1:9" x14ac:dyDescent="0.25">
      <c r="A44" t="s">
        <v>1976</v>
      </c>
      <c r="B44" t="s">
        <v>1538</v>
      </c>
      <c r="C44" s="3">
        <v>50</v>
      </c>
      <c r="D44" t="s">
        <v>17</v>
      </c>
      <c r="E44">
        <v>549390</v>
      </c>
      <c r="F44" t="s">
        <v>1562</v>
      </c>
      <c r="H44" s="4">
        <v>46091</v>
      </c>
      <c r="I44" t="s">
        <v>1965</v>
      </c>
    </row>
    <row r="45" spans="1:9" x14ac:dyDescent="0.25">
      <c r="A45" t="s">
        <v>1977</v>
      </c>
      <c r="B45" t="s">
        <v>1538</v>
      </c>
      <c r="C45" s="3">
        <v>100</v>
      </c>
      <c r="D45" t="s">
        <v>17</v>
      </c>
      <c r="E45">
        <v>549391</v>
      </c>
      <c r="F45" t="s">
        <v>1562</v>
      </c>
      <c r="H45" s="4">
        <v>46091</v>
      </c>
      <c r="I45" t="s">
        <v>1965</v>
      </c>
    </row>
    <row r="46" spans="1:9" x14ac:dyDescent="0.25">
      <c r="A46" t="s">
        <v>1978</v>
      </c>
      <c r="B46" t="s">
        <v>1538</v>
      </c>
      <c r="C46" s="3">
        <v>100</v>
      </c>
      <c r="D46" t="s">
        <v>17</v>
      </c>
      <c r="E46">
        <v>549392</v>
      </c>
      <c r="F46" t="s">
        <v>1562</v>
      </c>
      <c r="H46" s="4">
        <v>46091</v>
      </c>
      <c r="I46" t="s">
        <v>1965</v>
      </c>
    </row>
    <row r="47" spans="1:9" x14ac:dyDescent="0.25">
      <c r="A47" t="s">
        <v>1979</v>
      </c>
      <c r="B47" t="s">
        <v>1538</v>
      </c>
      <c r="C47" s="3">
        <v>25</v>
      </c>
      <c r="D47" t="s">
        <v>17</v>
      </c>
      <c r="E47">
        <v>549393</v>
      </c>
      <c r="F47" t="s">
        <v>1562</v>
      </c>
      <c r="H47" s="4">
        <v>46091</v>
      </c>
      <c r="I47" t="s">
        <v>1965</v>
      </c>
    </row>
    <row r="48" spans="1:9" x14ac:dyDescent="0.25">
      <c r="A48" t="s">
        <v>126</v>
      </c>
      <c r="B48" t="s">
        <v>1538</v>
      </c>
      <c r="C48" s="3">
        <v>50</v>
      </c>
      <c r="D48" t="s">
        <v>17</v>
      </c>
      <c r="E48">
        <v>549394</v>
      </c>
      <c r="F48" t="s">
        <v>1562</v>
      </c>
      <c r="H48" s="4">
        <v>46091</v>
      </c>
      <c r="I48" t="s">
        <v>1965</v>
      </c>
    </row>
    <row r="49" spans="1:9" x14ac:dyDescent="0.25">
      <c r="A49" t="s">
        <v>1980</v>
      </c>
      <c r="B49" t="s">
        <v>1538</v>
      </c>
      <c r="C49" s="3">
        <v>75</v>
      </c>
      <c r="D49" t="s">
        <v>17</v>
      </c>
      <c r="E49">
        <v>549395</v>
      </c>
      <c r="F49" t="s">
        <v>1562</v>
      </c>
      <c r="H49" s="4">
        <v>46091</v>
      </c>
      <c r="I49" t="s">
        <v>1965</v>
      </c>
    </row>
    <row r="50" spans="1:9" x14ac:dyDescent="0.25">
      <c r="A50" t="s">
        <v>1981</v>
      </c>
      <c r="B50" t="s">
        <v>1538</v>
      </c>
      <c r="C50" s="3">
        <v>25</v>
      </c>
      <c r="D50" t="s">
        <v>17</v>
      </c>
      <c r="E50">
        <v>549396</v>
      </c>
      <c r="F50" t="s">
        <v>1562</v>
      </c>
      <c r="H50" s="4">
        <v>46091</v>
      </c>
      <c r="I50" t="s">
        <v>1965</v>
      </c>
    </row>
    <row r="51" spans="1:9" x14ac:dyDescent="0.25">
      <c r="A51" t="s">
        <v>1156</v>
      </c>
      <c r="B51" t="s">
        <v>1538</v>
      </c>
      <c r="C51" s="3">
        <v>100</v>
      </c>
      <c r="D51" t="s">
        <v>17</v>
      </c>
      <c r="E51">
        <v>549397</v>
      </c>
      <c r="F51" t="s">
        <v>1562</v>
      </c>
      <c r="H51" s="4">
        <v>46091</v>
      </c>
      <c r="I51" t="s">
        <v>1965</v>
      </c>
    </row>
    <row r="52" spans="1:9" x14ac:dyDescent="0.25">
      <c r="A52" t="s">
        <v>1982</v>
      </c>
      <c r="B52" t="s">
        <v>1538</v>
      </c>
      <c r="C52" s="3">
        <v>100</v>
      </c>
      <c r="D52" t="s">
        <v>17</v>
      </c>
      <c r="E52">
        <v>549398</v>
      </c>
      <c r="F52" t="s">
        <v>1562</v>
      </c>
      <c r="H52" s="4">
        <v>46092</v>
      </c>
      <c r="I52" t="s">
        <v>1965</v>
      </c>
    </row>
    <row r="53" spans="1:9" x14ac:dyDescent="0.25">
      <c r="A53" t="s">
        <v>1983</v>
      </c>
      <c r="B53" t="s">
        <v>1538</v>
      </c>
      <c r="C53" s="3">
        <v>25</v>
      </c>
      <c r="D53" t="s">
        <v>17</v>
      </c>
      <c r="E53">
        <v>549399</v>
      </c>
      <c r="F53" t="s">
        <v>1562</v>
      </c>
      <c r="H53" s="4">
        <v>46092</v>
      </c>
      <c r="I53" t="s">
        <v>1965</v>
      </c>
    </row>
    <row r="54" spans="1:9" x14ac:dyDescent="0.25">
      <c r="A54" t="s">
        <v>1984</v>
      </c>
      <c r="B54" t="s">
        <v>1538</v>
      </c>
      <c r="C54" s="3">
        <v>50</v>
      </c>
      <c r="D54" t="s">
        <v>17</v>
      </c>
      <c r="E54">
        <v>549400</v>
      </c>
      <c r="F54" t="s">
        <v>1562</v>
      </c>
      <c r="H54" s="4">
        <v>46092</v>
      </c>
      <c r="I54" t="s">
        <v>1965</v>
      </c>
    </row>
    <row r="55" spans="1:9" x14ac:dyDescent="0.25">
      <c r="A55" t="s">
        <v>1985</v>
      </c>
      <c r="B55" t="s">
        <v>1538</v>
      </c>
      <c r="C55" s="3">
        <v>50</v>
      </c>
      <c r="D55" t="s">
        <v>17</v>
      </c>
      <c r="E55">
        <v>549401</v>
      </c>
      <c r="F55" t="s">
        <v>1562</v>
      </c>
      <c r="H55" s="4">
        <v>46092</v>
      </c>
      <c r="I55" t="s">
        <v>1965</v>
      </c>
    </row>
    <row r="56" spans="1:9" x14ac:dyDescent="0.25">
      <c r="A56" t="s">
        <v>126</v>
      </c>
      <c r="B56" t="s">
        <v>1538</v>
      </c>
      <c r="C56" s="3">
        <v>26</v>
      </c>
      <c r="D56" t="s">
        <v>17</v>
      </c>
      <c r="E56">
        <v>549402</v>
      </c>
      <c r="F56" t="s">
        <v>1562</v>
      </c>
      <c r="H56" s="4">
        <v>46092</v>
      </c>
      <c r="I56" t="s">
        <v>1965</v>
      </c>
    </row>
    <row r="57" spans="1:9" x14ac:dyDescent="0.25">
      <c r="A57" t="s">
        <v>136</v>
      </c>
      <c r="B57" t="s">
        <v>1538</v>
      </c>
      <c r="C57" s="3">
        <v>50</v>
      </c>
      <c r="D57" t="s">
        <v>17</v>
      </c>
      <c r="E57">
        <v>549403</v>
      </c>
      <c r="F57" t="s">
        <v>1562</v>
      </c>
      <c r="H57" s="4">
        <v>46092</v>
      </c>
      <c r="I57" t="s">
        <v>1965</v>
      </c>
    </row>
    <row r="58" spans="1:9" x14ac:dyDescent="0.25">
      <c r="A58" t="s">
        <v>1986</v>
      </c>
      <c r="B58" t="s">
        <v>1538</v>
      </c>
      <c r="C58" s="3">
        <v>100</v>
      </c>
      <c r="D58" t="s">
        <v>17</v>
      </c>
      <c r="E58">
        <v>549405</v>
      </c>
      <c r="F58" t="s">
        <v>1562</v>
      </c>
      <c r="H58" s="4">
        <v>46092</v>
      </c>
      <c r="I58" t="s">
        <v>1965</v>
      </c>
    </row>
    <row r="59" spans="1:9" x14ac:dyDescent="0.25">
      <c r="A59" t="s">
        <v>98</v>
      </c>
      <c r="B59" t="s">
        <v>1538</v>
      </c>
      <c r="C59" s="3">
        <v>25</v>
      </c>
      <c r="D59" t="s">
        <v>17</v>
      </c>
      <c r="E59">
        <v>549406</v>
      </c>
      <c r="F59" t="s">
        <v>1562</v>
      </c>
      <c r="H59" s="4">
        <v>46092</v>
      </c>
      <c r="I59" t="s">
        <v>1965</v>
      </c>
    </row>
    <row r="60" spans="1:9" x14ac:dyDescent="0.25">
      <c r="A60" t="s">
        <v>1381</v>
      </c>
      <c r="B60" t="s">
        <v>1538</v>
      </c>
      <c r="C60" s="3">
        <v>100</v>
      </c>
      <c r="D60" t="s">
        <v>17</v>
      </c>
      <c r="E60">
        <v>549407</v>
      </c>
      <c r="F60" t="s">
        <v>1562</v>
      </c>
      <c r="H60" s="4">
        <v>46092</v>
      </c>
      <c r="I60" t="s">
        <v>1965</v>
      </c>
    </row>
    <row r="61" spans="1:9" x14ac:dyDescent="0.25">
      <c r="A61" t="s">
        <v>1305</v>
      </c>
      <c r="B61" t="s">
        <v>1538</v>
      </c>
      <c r="C61" s="3">
        <v>20</v>
      </c>
      <c r="D61" t="s">
        <v>17</v>
      </c>
      <c r="E61">
        <v>549408</v>
      </c>
      <c r="F61" t="s">
        <v>1562</v>
      </c>
      <c r="H61" s="4">
        <v>46092</v>
      </c>
      <c r="I61" t="s">
        <v>1965</v>
      </c>
    </row>
    <row r="62" spans="1:9" x14ac:dyDescent="0.25">
      <c r="A62" t="s">
        <v>1987</v>
      </c>
      <c r="B62" t="s">
        <v>1538</v>
      </c>
      <c r="C62" s="3">
        <v>100</v>
      </c>
      <c r="D62" t="s">
        <v>17</v>
      </c>
      <c r="E62">
        <v>549409</v>
      </c>
      <c r="F62" t="s">
        <v>1562</v>
      </c>
      <c r="H62" s="4">
        <v>46092</v>
      </c>
      <c r="I62" t="s">
        <v>1965</v>
      </c>
    </row>
    <row r="63" spans="1:9" x14ac:dyDescent="0.25">
      <c r="A63" t="s">
        <v>1988</v>
      </c>
      <c r="B63" t="s">
        <v>1538</v>
      </c>
      <c r="C63" s="3">
        <v>50</v>
      </c>
      <c r="D63" t="s">
        <v>17</v>
      </c>
      <c r="E63">
        <v>549410</v>
      </c>
      <c r="F63" t="s">
        <v>1562</v>
      </c>
      <c r="H63" s="4">
        <v>46092</v>
      </c>
      <c r="I63" t="s">
        <v>1965</v>
      </c>
    </row>
    <row r="64" spans="1:9" x14ac:dyDescent="0.25">
      <c r="A64" t="s">
        <v>1989</v>
      </c>
      <c r="B64" t="s">
        <v>1538</v>
      </c>
      <c r="C64" s="3">
        <v>25</v>
      </c>
      <c r="D64" t="s">
        <v>17</v>
      </c>
      <c r="E64">
        <v>549411</v>
      </c>
      <c r="F64" t="s">
        <v>1562</v>
      </c>
      <c r="H64" s="4">
        <v>46092</v>
      </c>
      <c r="I64" t="s">
        <v>1965</v>
      </c>
    </row>
    <row r="65" spans="1:9" x14ac:dyDescent="0.25">
      <c r="A65" t="s">
        <v>1990</v>
      </c>
      <c r="B65" t="s">
        <v>1538</v>
      </c>
      <c r="C65" s="3">
        <v>25</v>
      </c>
      <c r="D65" t="s">
        <v>17</v>
      </c>
      <c r="E65">
        <v>549412</v>
      </c>
      <c r="F65" t="s">
        <v>1562</v>
      </c>
      <c r="H65" s="4">
        <v>46092</v>
      </c>
      <c r="I65" t="s">
        <v>1965</v>
      </c>
    </row>
    <row r="66" spans="1:9" x14ac:dyDescent="0.25">
      <c r="A66" t="s">
        <v>1991</v>
      </c>
      <c r="B66" t="s">
        <v>1538</v>
      </c>
      <c r="C66" s="3">
        <v>25</v>
      </c>
      <c r="D66" t="s">
        <v>17</v>
      </c>
      <c r="E66">
        <v>549413</v>
      </c>
      <c r="F66" t="s">
        <v>1562</v>
      </c>
      <c r="H66" s="4">
        <v>46092</v>
      </c>
      <c r="I66" t="s">
        <v>1965</v>
      </c>
    </row>
    <row r="67" spans="1:9" x14ac:dyDescent="0.25">
      <c r="A67" t="s">
        <v>1537</v>
      </c>
      <c r="B67" t="s">
        <v>1505</v>
      </c>
      <c r="C67" s="3">
        <v>200</v>
      </c>
      <c r="D67" t="s">
        <v>17</v>
      </c>
      <c r="E67">
        <v>543962</v>
      </c>
      <c r="F67" t="s">
        <v>1562</v>
      </c>
      <c r="H67" s="4">
        <v>45957</v>
      </c>
      <c r="I67" t="s">
        <v>1965</v>
      </c>
    </row>
    <row r="68" spans="1:9" x14ac:dyDescent="0.25">
      <c r="A68" t="s">
        <v>1536</v>
      </c>
      <c r="B68" t="s">
        <v>1505</v>
      </c>
      <c r="C68" s="3">
        <v>200</v>
      </c>
      <c r="D68" t="s">
        <v>17</v>
      </c>
      <c r="E68">
        <v>543963</v>
      </c>
      <c r="F68" t="s">
        <v>1562</v>
      </c>
      <c r="H68" s="4">
        <v>45957</v>
      </c>
      <c r="I68" t="s">
        <v>1965</v>
      </c>
    </row>
    <row r="69" spans="1:9" x14ac:dyDescent="0.25">
      <c r="A69" t="s">
        <v>1535</v>
      </c>
      <c r="B69" t="s">
        <v>1505</v>
      </c>
      <c r="C69" s="3">
        <v>555</v>
      </c>
      <c r="D69" t="s">
        <v>17</v>
      </c>
      <c r="E69">
        <v>543964</v>
      </c>
      <c r="F69" t="s">
        <v>1562</v>
      </c>
      <c r="H69" s="4">
        <v>45957</v>
      </c>
      <c r="I69" t="s">
        <v>1965</v>
      </c>
    </row>
    <row r="70" spans="1:9" x14ac:dyDescent="0.25">
      <c r="A70" t="s">
        <v>1534</v>
      </c>
      <c r="B70" t="s">
        <v>1505</v>
      </c>
      <c r="C70" s="3">
        <v>75</v>
      </c>
      <c r="D70" t="s">
        <v>17</v>
      </c>
      <c r="E70">
        <v>543965</v>
      </c>
      <c r="F70" t="s">
        <v>1562</v>
      </c>
      <c r="H70" s="4">
        <v>45957</v>
      </c>
      <c r="I70" t="s">
        <v>1965</v>
      </c>
    </row>
    <row r="71" spans="1:9" x14ac:dyDescent="0.25">
      <c r="A71" t="s">
        <v>1533</v>
      </c>
      <c r="B71" t="s">
        <v>1505</v>
      </c>
      <c r="C71" s="3">
        <v>75</v>
      </c>
      <c r="D71" t="s">
        <v>17</v>
      </c>
      <c r="E71">
        <v>543966</v>
      </c>
      <c r="F71" t="s">
        <v>1562</v>
      </c>
      <c r="H71" s="4">
        <v>45957</v>
      </c>
      <c r="I71" t="s">
        <v>1965</v>
      </c>
    </row>
    <row r="72" spans="1:9" x14ac:dyDescent="0.25">
      <c r="A72" t="s">
        <v>1532</v>
      </c>
      <c r="B72" t="s">
        <v>1505</v>
      </c>
      <c r="C72" s="3">
        <v>50</v>
      </c>
      <c r="D72" t="s">
        <v>17</v>
      </c>
      <c r="E72">
        <v>543967</v>
      </c>
      <c r="F72" t="s">
        <v>1562</v>
      </c>
      <c r="H72" s="4">
        <v>45957</v>
      </c>
      <c r="I72" t="s">
        <v>1965</v>
      </c>
    </row>
    <row r="73" spans="1:9" x14ac:dyDescent="0.25">
      <c r="A73" t="s">
        <v>537</v>
      </c>
      <c r="B73" t="s">
        <v>1505</v>
      </c>
      <c r="C73" s="3">
        <v>50</v>
      </c>
      <c r="D73" t="s">
        <v>17</v>
      </c>
      <c r="E73">
        <v>543968</v>
      </c>
      <c r="F73" t="s">
        <v>1562</v>
      </c>
      <c r="H73" s="4">
        <v>45957</v>
      </c>
      <c r="I73" t="s">
        <v>1965</v>
      </c>
    </row>
    <row r="74" spans="1:9" x14ac:dyDescent="0.25">
      <c r="A74" t="s">
        <v>1531</v>
      </c>
      <c r="B74" t="s">
        <v>1505</v>
      </c>
      <c r="C74" s="3">
        <v>75</v>
      </c>
      <c r="D74" t="s">
        <v>17</v>
      </c>
      <c r="E74">
        <v>543969</v>
      </c>
      <c r="F74" t="s">
        <v>1562</v>
      </c>
      <c r="H74" s="4">
        <v>45957</v>
      </c>
      <c r="I74" t="s">
        <v>1965</v>
      </c>
    </row>
    <row r="75" spans="1:9" x14ac:dyDescent="0.25">
      <c r="A75" t="s">
        <v>1530</v>
      </c>
      <c r="B75" t="s">
        <v>1505</v>
      </c>
      <c r="C75" s="3">
        <v>20</v>
      </c>
      <c r="D75" t="s">
        <v>17</v>
      </c>
      <c r="E75">
        <v>543970</v>
      </c>
      <c r="F75" t="s">
        <v>1562</v>
      </c>
      <c r="H75" s="4">
        <v>45957</v>
      </c>
      <c r="I75" t="s">
        <v>1965</v>
      </c>
    </row>
    <row r="76" spans="1:9" x14ac:dyDescent="0.25">
      <c r="A76" t="s">
        <v>500</v>
      </c>
      <c r="B76" t="s">
        <v>1505</v>
      </c>
      <c r="C76" s="3">
        <v>100</v>
      </c>
      <c r="D76" t="s">
        <v>17</v>
      </c>
      <c r="E76">
        <v>543971</v>
      </c>
      <c r="F76" t="s">
        <v>1562</v>
      </c>
      <c r="H76" s="4">
        <v>45957</v>
      </c>
      <c r="I76" t="s">
        <v>1965</v>
      </c>
    </row>
    <row r="77" spans="1:9" x14ac:dyDescent="0.25">
      <c r="A77" t="s">
        <v>186</v>
      </c>
      <c r="B77" t="s">
        <v>1505</v>
      </c>
      <c r="C77" s="3">
        <v>50</v>
      </c>
      <c r="D77" t="s">
        <v>17</v>
      </c>
      <c r="E77">
        <v>543972</v>
      </c>
      <c r="F77" t="s">
        <v>1562</v>
      </c>
      <c r="H77" s="4">
        <v>45957</v>
      </c>
      <c r="I77" t="s">
        <v>1965</v>
      </c>
    </row>
    <row r="78" spans="1:9" x14ac:dyDescent="0.25">
      <c r="A78" t="s">
        <v>1529</v>
      </c>
      <c r="B78" t="s">
        <v>1505</v>
      </c>
      <c r="C78" s="3">
        <v>100</v>
      </c>
      <c r="D78" t="s">
        <v>17</v>
      </c>
      <c r="E78">
        <v>543973</v>
      </c>
      <c r="F78" t="s">
        <v>1562</v>
      </c>
      <c r="H78" s="4">
        <v>45957</v>
      </c>
      <c r="I78" t="s">
        <v>1965</v>
      </c>
    </row>
    <row r="79" spans="1:9" x14ac:dyDescent="0.25">
      <c r="A79" t="s">
        <v>1042</v>
      </c>
      <c r="B79" t="s">
        <v>1505</v>
      </c>
      <c r="C79" s="3">
        <v>60</v>
      </c>
      <c r="D79" t="s">
        <v>17</v>
      </c>
      <c r="E79">
        <v>543974</v>
      </c>
      <c r="F79" t="s">
        <v>1562</v>
      </c>
      <c r="H79" s="4">
        <v>45957</v>
      </c>
      <c r="I79" t="s">
        <v>1965</v>
      </c>
    </row>
    <row r="80" spans="1:9" x14ac:dyDescent="0.25">
      <c r="A80" t="s">
        <v>1528</v>
      </c>
      <c r="B80" t="s">
        <v>1505</v>
      </c>
      <c r="C80" s="3">
        <v>20</v>
      </c>
      <c r="D80" t="s">
        <v>17</v>
      </c>
      <c r="E80">
        <v>543975</v>
      </c>
      <c r="F80" t="s">
        <v>1562</v>
      </c>
      <c r="H80" s="4">
        <v>45957</v>
      </c>
      <c r="I80" t="s">
        <v>1965</v>
      </c>
    </row>
    <row r="81" spans="1:9" x14ac:dyDescent="0.25">
      <c r="A81" t="s">
        <v>1527</v>
      </c>
      <c r="B81" t="s">
        <v>1505</v>
      </c>
      <c r="C81" s="3">
        <v>100</v>
      </c>
      <c r="D81" t="s">
        <v>17</v>
      </c>
      <c r="E81">
        <v>543976</v>
      </c>
      <c r="F81" t="s">
        <v>1562</v>
      </c>
      <c r="H81" s="4">
        <v>45957</v>
      </c>
      <c r="I81" t="s">
        <v>1965</v>
      </c>
    </row>
    <row r="82" spans="1:9" x14ac:dyDescent="0.25">
      <c r="A82" t="s">
        <v>1526</v>
      </c>
      <c r="B82" t="s">
        <v>1505</v>
      </c>
      <c r="C82" s="3">
        <v>50</v>
      </c>
      <c r="D82" t="s">
        <v>17</v>
      </c>
      <c r="E82">
        <v>543977</v>
      </c>
      <c r="F82" t="s">
        <v>1562</v>
      </c>
      <c r="H82" s="4">
        <v>45957</v>
      </c>
      <c r="I82" t="s">
        <v>1965</v>
      </c>
    </row>
    <row r="83" spans="1:9" x14ac:dyDescent="0.25">
      <c r="A83" t="s">
        <v>1525</v>
      </c>
      <c r="B83" t="s">
        <v>1505</v>
      </c>
      <c r="C83" s="3">
        <v>35</v>
      </c>
      <c r="D83" t="s">
        <v>17</v>
      </c>
      <c r="E83">
        <v>543978</v>
      </c>
      <c r="F83" t="s">
        <v>1562</v>
      </c>
      <c r="H83" s="4">
        <v>45957</v>
      </c>
      <c r="I83" t="s">
        <v>1965</v>
      </c>
    </row>
    <row r="84" spans="1:9" x14ac:dyDescent="0.25">
      <c r="A84" t="s">
        <v>1524</v>
      </c>
      <c r="B84" t="s">
        <v>1505</v>
      </c>
      <c r="C84" s="3">
        <v>50</v>
      </c>
      <c r="D84" t="s">
        <v>17</v>
      </c>
      <c r="E84">
        <v>543979</v>
      </c>
      <c r="F84" t="s">
        <v>1562</v>
      </c>
      <c r="H84" s="4">
        <v>45957</v>
      </c>
      <c r="I84" t="s">
        <v>1965</v>
      </c>
    </row>
    <row r="85" spans="1:9" x14ac:dyDescent="0.25">
      <c r="A85" t="s">
        <v>1523</v>
      </c>
      <c r="B85" t="s">
        <v>1505</v>
      </c>
      <c r="C85" s="3">
        <v>50</v>
      </c>
      <c r="D85" t="s">
        <v>17</v>
      </c>
      <c r="E85">
        <v>543980</v>
      </c>
      <c r="F85" t="s">
        <v>1562</v>
      </c>
      <c r="H85" s="4">
        <v>45957</v>
      </c>
      <c r="I85" t="s">
        <v>1965</v>
      </c>
    </row>
    <row r="86" spans="1:9" x14ac:dyDescent="0.25">
      <c r="A86" t="s">
        <v>1522</v>
      </c>
      <c r="B86" t="s">
        <v>1505</v>
      </c>
      <c r="C86" s="3">
        <v>50</v>
      </c>
      <c r="D86" t="s">
        <v>17</v>
      </c>
      <c r="E86">
        <v>543981</v>
      </c>
      <c r="F86" t="s">
        <v>1562</v>
      </c>
      <c r="H86" s="4">
        <v>45957</v>
      </c>
      <c r="I86" t="s">
        <v>1965</v>
      </c>
    </row>
    <row r="87" spans="1:9" x14ac:dyDescent="0.25">
      <c r="A87" t="s">
        <v>1521</v>
      </c>
      <c r="B87" t="s">
        <v>1505</v>
      </c>
      <c r="C87" s="3">
        <v>20</v>
      </c>
      <c r="D87" t="s">
        <v>17</v>
      </c>
      <c r="E87">
        <v>543982</v>
      </c>
      <c r="F87" t="s">
        <v>1562</v>
      </c>
      <c r="H87" s="4">
        <v>45957</v>
      </c>
      <c r="I87" t="s">
        <v>1965</v>
      </c>
    </row>
    <row r="88" spans="1:9" x14ac:dyDescent="0.25">
      <c r="A88" t="s">
        <v>1520</v>
      </c>
      <c r="B88" t="s">
        <v>1505</v>
      </c>
      <c r="C88" s="3">
        <v>50</v>
      </c>
      <c r="D88" t="s">
        <v>17</v>
      </c>
      <c r="E88">
        <v>543983</v>
      </c>
      <c r="F88" t="s">
        <v>1562</v>
      </c>
      <c r="H88" s="4">
        <v>45957</v>
      </c>
      <c r="I88" t="s">
        <v>1965</v>
      </c>
    </row>
    <row r="89" spans="1:9" x14ac:dyDescent="0.25">
      <c r="A89" t="s">
        <v>1519</v>
      </c>
      <c r="B89" t="s">
        <v>1505</v>
      </c>
      <c r="C89" s="3">
        <v>100</v>
      </c>
      <c r="D89" t="s">
        <v>17</v>
      </c>
      <c r="E89">
        <v>543984</v>
      </c>
      <c r="F89" t="s">
        <v>1562</v>
      </c>
      <c r="H89" s="4">
        <v>45957</v>
      </c>
      <c r="I89" t="s">
        <v>1965</v>
      </c>
    </row>
    <row r="90" spans="1:9" x14ac:dyDescent="0.25">
      <c r="A90" t="s">
        <v>1518</v>
      </c>
      <c r="B90" t="s">
        <v>1505</v>
      </c>
      <c r="C90" s="3">
        <v>5</v>
      </c>
      <c r="D90" t="s">
        <v>17</v>
      </c>
      <c r="E90">
        <v>543985</v>
      </c>
      <c r="F90" t="s">
        <v>1562</v>
      </c>
      <c r="H90" s="4">
        <v>45957</v>
      </c>
      <c r="I90" t="s">
        <v>1965</v>
      </c>
    </row>
    <row r="91" spans="1:9" x14ac:dyDescent="0.25">
      <c r="A91" t="s">
        <v>1517</v>
      </c>
      <c r="B91" t="s">
        <v>1505</v>
      </c>
      <c r="C91" s="3">
        <v>10</v>
      </c>
      <c r="D91" t="s">
        <v>17</v>
      </c>
      <c r="E91">
        <v>543986</v>
      </c>
      <c r="F91" t="s">
        <v>1562</v>
      </c>
      <c r="H91" s="4">
        <v>45957</v>
      </c>
      <c r="I91" t="s">
        <v>1965</v>
      </c>
    </row>
    <row r="92" spans="1:9" x14ac:dyDescent="0.25">
      <c r="A92" t="s">
        <v>1516</v>
      </c>
      <c r="B92" t="s">
        <v>1505</v>
      </c>
      <c r="C92" s="3">
        <v>20</v>
      </c>
      <c r="D92" t="s">
        <v>17</v>
      </c>
      <c r="E92">
        <v>543987</v>
      </c>
      <c r="F92" t="s">
        <v>1562</v>
      </c>
      <c r="H92" s="4">
        <v>45957</v>
      </c>
      <c r="I92" t="s">
        <v>1965</v>
      </c>
    </row>
    <row r="93" spans="1:9" x14ac:dyDescent="0.25">
      <c r="A93" t="s">
        <v>1515</v>
      </c>
      <c r="B93" t="s">
        <v>1505</v>
      </c>
      <c r="C93" s="3">
        <v>20</v>
      </c>
      <c r="D93" t="s">
        <v>17</v>
      </c>
      <c r="E93">
        <v>543988</v>
      </c>
      <c r="F93" t="s">
        <v>1562</v>
      </c>
      <c r="H93" s="4">
        <v>45957</v>
      </c>
      <c r="I93" t="s">
        <v>1965</v>
      </c>
    </row>
    <row r="94" spans="1:9" x14ac:dyDescent="0.25">
      <c r="A94" t="s">
        <v>1514</v>
      </c>
      <c r="B94" t="s">
        <v>1505</v>
      </c>
      <c r="C94" s="3">
        <v>15</v>
      </c>
      <c r="D94" t="s">
        <v>17</v>
      </c>
      <c r="E94">
        <v>543989</v>
      </c>
      <c r="F94" t="s">
        <v>1562</v>
      </c>
      <c r="H94" s="4">
        <v>45957</v>
      </c>
      <c r="I94" t="s">
        <v>1965</v>
      </c>
    </row>
    <row r="95" spans="1:9" x14ac:dyDescent="0.25">
      <c r="A95" t="s">
        <v>1513</v>
      </c>
      <c r="B95" t="s">
        <v>1505</v>
      </c>
      <c r="C95" s="3">
        <v>20</v>
      </c>
      <c r="D95" t="s">
        <v>17</v>
      </c>
      <c r="E95">
        <v>543990</v>
      </c>
      <c r="F95" t="s">
        <v>1562</v>
      </c>
      <c r="H95" s="4">
        <v>45957</v>
      </c>
      <c r="I95" t="s">
        <v>1965</v>
      </c>
    </row>
    <row r="96" spans="1:9" x14ac:dyDescent="0.25">
      <c r="A96" t="s">
        <v>1512</v>
      </c>
      <c r="B96" t="s">
        <v>1505</v>
      </c>
      <c r="C96" s="3">
        <v>5</v>
      </c>
      <c r="D96" t="s">
        <v>17</v>
      </c>
      <c r="E96">
        <v>543991</v>
      </c>
      <c r="F96" t="s">
        <v>1562</v>
      </c>
      <c r="H96" s="4">
        <v>45957</v>
      </c>
      <c r="I96" t="s">
        <v>1965</v>
      </c>
    </row>
    <row r="97" spans="1:9" x14ac:dyDescent="0.25">
      <c r="A97" t="s">
        <v>1511</v>
      </c>
      <c r="B97" t="s">
        <v>1505</v>
      </c>
      <c r="C97" s="3">
        <v>50</v>
      </c>
      <c r="D97" t="s">
        <v>17</v>
      </c>
      <c r="E97">
        <v>543992</v>
      </c>
      <c r="F97" t="s">
        <v>1562</v>
      </c>
      <c r="H97" s="4">
        <v>45957</v>
      </c>
      <c r="I97" t="s">
        <v>1965</v>
      </c>
    </row>
    <row r="98" spans="1:9" x14ac:dyDescent="0.25">
      <c r="A98" t="s">
        <v>1510</v>
      </c>
      <c r="B98" t="s">
        <v>1505</v>
      </c>
      <c r="C98" s="3">
        <v>50</v>
      </c>
      <c r="D98" t="s">
        <v>17</v>
      </c>
      <c r="E98">
        <v>543993</v>
      </c>
      <c r="F98" t="s">
        <v>1562</v>
      </c>
      <c r="H98" s="4">
        <v>45957</v>
      </c>
      <c r="I98" t="s">
        <v>1965</v>
      </c>
    </row>
    <row r="99" spans="1:9" x14ac:dyDescent="0.25">
      <c r="A99" t="s">
        <v>1509</v>
      </c>
      <c r="B99" t="s">
        <v>1505</v>
      </c>
      <c r="C99" s="3">
        <v>50</v>
      </c>
      <c r="D99" t="s">
        <v>17</v>
      </c>
      <c r="E99">
        <v>543994</v>
      </c>
      <c r="F99" t="s">
        <v>1562</v>
      </c>
      <c r="H99" s="4">
        <v>45957</v>
      </c>
      <c r="I99" t="s">
        <v>1965</v>
      </c>
    </row>
    <row r="100" spans="1:9" x14ac:dyDescent="0.25">
      <c r="A100" t="s">
        <v>1508</v>
      </c>
      <c r="B100" t="s">
        <v>1505</v>
      </c>
      <c r="C100" s="3">
        <v>100</v>
      </c>
      <c r="D100" t="s">
        <v>17</v>
      </c>
      <c r="E100">
        <v>543995</v>
      </c>
      <c r="F100" t="s">
        <v>1562</v>
      </c>
      <c r="H100" s="4">
        <v>45957</v>
      </c>
      <c r="I100" t="s">
        <v>1965</v>
      </c>
    </row>
    <row r="101" spans="1:9" x14ac:dyDescent="0.25">
      <c r="A101" t="s">
        <v>1507</v>
      </c>
      <c r="B101" t="s">
        <v>1505</v>
      </c>
      <c r="C101" s="3">
        <v>50</v>
      </c>
      <c r="D101" t="s">
        <v>17</v>
      </c>
      <c r="E101">
        <v>543996</v>
      </c>
      <c r="F101" t="s">
        <v>1562</v>
      </c>
      <c r="H101" s="4">
        <v>45957</v>
      </c>
      <c r="I101" t="s">
        <v>1965</v>
      </c>
    </row>
    <row r="102" spans="1:9" x14ac:dyDescent="0.25">
      <c r="A102" t="s">
        <v>1506</v>
      </c>
      <c r="B102" t="s">
        <v>1505</v>
      </c>
      <c r="C102" s="3">
        <v>170</v>
      </c>
      <c r="D102" t="s">
        <v>17</v>
      </c>
      <c r="E102">
        <v>543997</v>
      </c>
      <c r="F102" t="s">
        <v>1562</v>
      </c>
      <c r="G102" t="s">
        <v>1580</v>
      </c>
      <c r="H102" s="4">
        <v>45957</v>
      </c>
      <c r="I102" t="s">
        <v>1965</v>
      </c>
    </row>
    <row r="103" spans="1:9" x14ac:dyDescent="0.25">
      <c r="A103" t="s">
        <v>1504</v>
      </c>
      <c r="B103" t="s">
        <v>1503</v>
      </c>
      <c r="C103" s="3">
        <v>13524</v>
      </c>
      <c r="D103" t="s">
        <v>17</v>
      </c>
      <c r="E103">
        <v>544306</v>
      </c>
      <c r="F103" t="s">
        <v>1562</v>
      </c>
      <c r="H103" s="4">
        <v>45964</v>
      </c>
      <c r="I103" t="s">
        <v>1965</v>
      </c>
    </row>
    <row r="104" spans="1:9" x14ac:dyDescent="0.25">
      <c r="A104" t="s">
        <v>1440</v>
      </c>
      <c r="B104" t="s">
        <v>1424</v>
      </c>
      <c r="C104" s="3">
        <v>200</v>
      </c>
      <c r="D104" t="s">
        <v>18</v>
      </c>
      <c r="E104">
        <v>539208</v>
      </c>
      <c r="F104" t="s">
        <v>1562</v>
      </c>
      <c r="H104" s="4">
        <v>45792</v>
      </c>
      <c r="I104" t="s">
        <v>1965</v>
      </c>
    </row>
    <row r="105" spans="1:9" x14ac:dyDescent="0.25">
      <c r="A105" t="s">
        <v>1439</v>
      </c>
      <c r="B105" t="s">
        <v>1424</v>
      </c>
      <c r="C105" s="3">
        <v>200</v>
      </c>
      <c r="D105" t="s">
        <v>18</v>
      </c>
      <c r="E105">
        <v>539209</v>
      </c>
      <c r="F105" t="s">
        <v>1562</v>
      </c>
      <c r="H105" s="4">
        <v>45792</v>
      </c>
      <c r="I105" t="s">
        <v>1965</v>
      </c>
    </row>
    <row r="106" spans="1:9" x14ac:dyDescent="0.25">
      <c r="A106" t="s">
        <v>1241</v>
      </c>
      <c r="B106" t="s">
        <v>1424</v>
      </c>
      <c r="C106" s="3">
        <v>1000</v>
      </c>
      <c r="D106" t="s">
        <v>18</v>
      </c>
      <c r="E106">
        <v>539225</v>
      </c>
      <c r="F106" t="s">
        <v>1562</v>
      </c>
      <c r="H106" s="4">
        <v>45793</v>
      </c>
      <c r="I106" t="s">
        <v>1965</v>
      </c>
    </row>
    <row r="107" spans="1:9" x14ac:dyDescent="0.25">
      <c r="A107" t="s">
        <v>1437</v>
      </c>
      <c r="B107" t="s">
        <v>1424</v>
      </c>
      <c r="C107" s="3">
        <v>200</v>
      </c>
      <c r="D107" t="s">
        <v>18</v>
      </c>
      <c r="E107">
        <v>539227</v>
      </c>
      <c r="F107" t="s">
        <v>1562</v>
      </c>
      <c r="H107" s="4">
        <v>45793</v>
      </c>
      <c r="I107" t="s">
        <v>1965</v>
      </c>
    </row>
    <row r="108" spans="1:9" x14ac:dyDescent="0.25">
      <c r="A108" t="s">
        <v>1436</v>
      </c>
      <c r="B108" t="s">
        <v>1424</v>
      </c>
      <c r="C108" s="3">
        <v>200</v>
      </c>
      <c r="D108" t="s">
        <v>18</v>
      </c>
      <c r="E108">
        <v>539235</v>
      </c>
      <c r="F108" t="s">
        <v>1562</v>
      </c>
      <c r="H108" s="4">
        <v>45797</v>
      </c>
      <c r="I108" t="s">
        <v>1965</v>
      </c>
    </row>
    <row r="109" spans="1:9" x14ac:dyDescent="0.25">
      <c r="A109" t="s">
        <v>1435</v>
      </c>
      <c r="B109" t="s">
        <v>1424</v>
      </c>
      <c r="C109" s="3">
        <v>1000</v>
      </c>
      <c r="D109" t="s">
        <v>18</v>
      </c>
      <c r="E109">
        <v>539257</v>
      </c>
      <c r="F109" t="s">
        <v>1562</v>
      </c>
      <c r="H109" s="4">
        <v>45798</v>
      </c>
      <c r="I109" t="s">
        <v>1965</v>
      </c>
    </row>
    <row r="110" spans="1:9" x14ac:dyDescent="0.25">
      <c r="A110" t="s">
        <v>1434</v>
      </c>
      <c r="B110" t="s">
        <v>1424</v>
      </c>
      <c r="C110" s="3">
        <v>1000</v>
      </c>
      <c r="D110" t="s">
        <v>18</v>
      </c>
      <c r="E110">
        <v>539259</v>
      </c>
      <c r="F110" t="s">
        <v>1562</v>
      </c>
      <c r="H110" s="4">
        <v>45798</v>
      </c>
      <c r="I110" t="s">
        <v>1965</v>
      </c>
    </row>
    <row r="111" spans="1:9" x14ac:dyDescent="0.25">
      <c r="A111" t="s">
        <v>1433</v>
      </c>
      <c r="B111" t="s">
        <v>1424</v>
      </c>
      <c r="C111" s="3">
        <v>200</v>
      </c>
      <c r="D111" t="s">
        <v>18</v>
      </c>
      <c r="E111">
        <v>539260</v>
      </c>
      <c r="F111" t="s">
        <v>1562</v>
      </c>
      <c r="H111" s="4">
        <v>45798</v>
      </c>
      <c r="I111" t="s">
        <v>1965</v>
      </c>
    </row>
    <row r="112" spans="1:9" x14ac:dyDescent="0.25">
      <c r="A112" t="s">
        <v>1432</v>
      </c>
      <c r="B112" t="s">
        <v>1424</v>
      </c>
      <c r="C112" s="3">
        <v>200</v>
      </c>
      <c r="D112" t="s">
        <v>18</v>
      </c>
      <c r="E112">
        <v>539285</v>
      </c>
      <c r="F112" t="s">
        <v>1562</v>
      </c>
      <c r="H112" s="4">
        <v>45805</v>
      </c>
      <c r="I112" t="s">
        <v>1965</v>
      </c>
    </row>
    <row r="113" spans="1:9" x14ac:dyDescent="0.25">
      <c r="A113" t="s">
        <v>1431</v>
      </c>
      <c r="B113" t="s">
        <v>1424</v>
      </c>
      <c r="C113" s="3">
        <v>200</v>
      </c>
      <c r="D113" t="s">
        <v>18</v>
      </c>
      <c r="E113">
        <v>539286</v>
      </c>
      <c r="F113" t="s">
        <v>1562</v>
      </c>
      <c r="H113" s="4">
        <v>45805</v>
      </c>
      <c r="I113" t="s">
        <v>1965</v>
      </c>
    </row>
    <row r="114" spans="1:9" x14ac:dyDescent="0.25">
      <c r="A114" t="s">
        <v>1430</v>
      </c>
      <c r="B114" t="s">
        <v>1424</v>
      </c>
      <c r="C114" s="3">
        <v>200</v>
      </c>
      <c r="D114" t="s">
        <v>18</v>
      </c>
      <c r="E114">
        <v>539287</v>
      </c>
      <c r="F114" t="s">
        <v>1562</v>
      </c>
      <c r="H114" s="4">
        <v>45805</v>
      </c>
      <c r="I114" t="s">
        <v>1965</v>
      </c>
    </row>
    <row r="115" spans="1:9" x14ac:dyDescent="0.25">
      <c r="A115" t="s">
        <v>1429</v>
      </c>
      <c r="B115" t="s">
        <v>1424</v>
      </c>
      <c r="C115" s="3">
        <v>200</v>
      </c>
      <c r="D115" t="s">
        <v>18</v>
      </c>
      <c r="E115">
        <v>539288</v>
      </c>
      <c r="F115" t="s">
        <v>1562</v>
      </c>
      <c r="H115" s="4">
        <v>45805</v>
      </c>
      <c r="I115" t="s">
        <v>1965</v>
      </c>
    </row>
    <row r="116" spans="1:9" x14ac:dyDescent="0.25">
      <c r="A116" t="s">
        <v>1428</v>
      </c>
      <c r="B116" t="s">
        <v>1424</v>
      </c>
      <c r="C116" s="3">
        <v>200</v>
      </c>
      <c r="D116" t="s">
        <v>18</v>
      </c>
      <c r="E116">
        <v>539280</v>
      </c>
      <c r="F116" t="s">
        <v>1562</v>
      </c>
      <c r="H116" s="4">
        <v>45805</v>
      </c>
      <c r="I116" t="s">
        <v>1965</v>
      </c>
    </row>
    <row r="117" spans="1:9" x14ac:dyDescent="0.25">
      <c r="A117" t="s">
        <v>1427</v>
      </c>
      <c r="B117" t="s">
        <v>1424</v>
      </c>
      <c r="C117" s="3">
        <v>200</v>
      </c>
      <c r="D117" t="s">
        <v>18</v>
      </c>
      <c r="E117">
        <v>539281</v>
      </c>
      <c r="F117" t="s">
        <v>1562</v>
      </c>
      <c r="H117" s="4">
        <v>45805</v>
      </c>
      <c r="I117" t="s">
        <v>1965</v>
      </c>
    </row>
    <row r="118" spans="1:9" x14ac:dyDescent="0.25">
      <c r="A118" t="s">
        <v>1426</v>
      </c>
      <c r="B118" t="s">
        <v>1424</v>
      </c>
      <c r="C118" s="3">
        <v>200</v>
      </c>
      <c r="D118" t="s">
        <v>18</v>
      </c>
      <c r="E118">
        <v>539282</v>
      </c>
      <c r="F118" t="s">
        <v>1562</v>
      </c>
      <c r="H118" s="4">
        <v>45805</v>
      </c>
      <c r="I118" t="s">
        <v>1965</v>
      </c>
    </row>
    <row r="119" spans="1:9" x14ac:dyDescent="0.25">
      <c r="A119" t="s">
        <v>1438</v>
      </c>
      <c r="B119" t="s">
        <v>1424</v>
      </c>
      <c r="C119" s="3">
        <v>200</v>
      </c>
      <c r="D119" t="s">
        <v>18</v>
      </c>
      <c r="E119">
        <v>539305</v>
      </c>
      <c r="F119" t="s">
        <v>1562</v>
      </c>
      <c r="H119" s="4">
        <v>45805</v>
      </c>
      <c r="I119" t="s">
        <v>1965</v>
      </c>
    </row>
    <row r="120" spans="1:9" x14ac:dyDescent="0.25">
      <c r="A120" t="s">
        <v>1442</v>
      </c>
      <c r="B120" t="s">
        <v>1424</v>
      </c>
      <c r="C120" s="3">
        <v>200</v>
      </c>
      <c r="D120" t="s">
        <v>18</v>
      </c>
      <c r="E120">
        <v>539718</v>
      </c>
      <c r="F120" t="s">
        <v>1562</v>
      </c>
      <c r="H120" s="4">
        <v>45811</v>
      </c>
      <c r="I120" t="s">
        <v>1965</v>
      </c>
    </row>
    <row r="121" spans="1:9" x14ac:dyDescent="0.25">
      <c r="A121" t="s">
        <v>1447</v>
      </c>
      <c r="B121" t="s">
        <v>1424</v>
      </c>
      <c r="C121" s="3">
        <v>200</v>
      </c>
      <c r="D121" t="s">
        <v>18</v>
      </c>
      <c r="E121">
        <v>539738</v>
      </c>
      <c r="F121" t="s">
        <v>1562</v>
      </c>
      <c r="H121" s="4">
        <v>45812</v>
      </c>
      <c r="I121" t="s">
        <v>1965</v>
      </c>
    </row>
    <row r="122" spans="1:9" x14ac:dyDescent="0.25">
      <c r="A122" t="s">
        <v>1453</v>
      </c>
      <c r="B122" t="s">
        <v>1424</v>
      </c>
      <c r="C122" s="3">
        <v>200</v>
      </c>
      <c r="D122" t="s">
        <v>18</v>
      </c>
      <c r="E122">
        <v>539769</v>
      </c>
      <c r="F122" t="s">
        <v>1562</v>
      </c>
      <c r="H122" s="4">
        <v>45813</v>
      </c>
      <c r="I122" t="s">
        <v>1965</v>
      </c>
    </row>
    <row r="123" spans="1:9" x14ac:dyDescent="0.25">
      <c r="A123" t="s">
        <v>1452</v>
      </c>
      <c r="B123" t="s">
        <v>1424</v>
      </c>
      <c r="C123" s="3">
        <v>1200</v>
      </c>
      <c r="D123" t="s">
        <v>18</v>
      </c>
      <c r="E123">
        <v>539794</v>
      </c>
      <c r="F123" t="s">
        <v>1562</v>
      </c>
      <c r="H123" s="4">
        <v>45818</v>
      </c>
      <c r="I123" t="s">
        <v>1965</v>
      </c>
    </row>
    <row r="124" spans="1:9" x14ac:dyDescent="0.25">
      <c r="A124" t="s">
        <v>1451</v>
      </c>
      <c r="B124" t="s">
        <v>1424</v>
      </c>
      <c r="C124" s="3">
        <v>600</v>
      </c>
      <c r="D124" t="s">
        <v>18</v>
      </c>
      <c r="E124">
        <v>539795</v>
      </c>
      <c r="F124" t="s">
        <v>1562</v>
      </c>
      <c r="H124" s="4">
        <v>45818</v>
      </c>
      <c r="I124" t="s">
        <v>1965</v>
      </c>
    </row>
    <row r="125" spans="1:9" x14ac:dyDescent="0.25">
      <c r="A125" t="s">
        <v>1450</v>
      </c>
      <c r="B125" t="s">
        <v>1424</v>
      </c>
      <c r="C125" s="3">
        <v>200</v>
      </c>
      <c r="D125" t="s">
        <v>18</v>
      </c>
      <c r="E125">
        <v>539796</v>
      </c>
      <c r="F125" t="s">
        <v>1562</v>
      </c>
      <c r="H125" s="4">
        <v>45818</v>
      </c>
      <c r="I125" t="s">
        <v>1965</v>
      </c>
    </row>
    <row r="126" spans="1:9" x14ac:dyDescent="0.25">
      <c r="A126" t="s">
        <v>1449</v>
      </c>
      <c r="B126" t="s">
        <v>1424</v>
      </c>
      <c r="C126" s="3">
        <v>200</v>
      </c>
      <c r="D126" t="s">
        <v>18</v>
      </c>
      <c r="E126">
        <v>539797</v>
      </c>
      <c r="F126" t="s">
        <v>1562</v>
      </c>
      <c r="H126" s="4">
        <v>45818</v>
      </c>
      <c r="I126" t="s">
        <v>1965</v>
      </c>
    </row>
    <row r="127" spans="1:9" x14ac:dyDescent="0.25">
      <c r="A127" t="s">
        <v>1448</v>
      </c>
      <c r="B127" t="s">
        <v>1424</v>
      </c>
      <c r="C127" s="3">
        <v>400</v>
      </c>
      <c r="D127" t="s">
        <v>18</v>
      </c>
      <c r="E127">
        <v>539798</v>
      </c>
      <c r="F127" t="s">
        <v>1562</v>
      </c>
      <c r="H127" s="4">
        <v>45818</v>
      </c>
      <c r="I127" t="s">
        <v>1965</v>
      </c>
    </row>
    <row r="128" spans="1:9" x14ac:dyDescent="0.25">
      <c r="A128" t="s">
        <v>1036</v>
      </c>
      <c r="B128" t="s">
        <v>1424</v>
      </c>
      <c r="C128" s="3">
        <v>200</v>
      </c>
      <c r="D128" t="s">
        <v>18</v>
      </c>
      <c r="E128">
        <v>539812</v>
      </c>
      <c r="F128" t="s">
        <v>1562</v>
      </c>
      <c r="H128" s="4">
        <v>45819</v>
      </c>
      <c r="I128" t="s">
        <v>1965</v>
      </c>
    </row>
    <row r="129" spans="1:9" x14ac:dyDescent="0.25">
      <c r="A129" t="s">
        <v>1446</v>
      </c>
      <c r="B129" t="s">
        <v>1424</v>
      </c>
      <c r="C129" s="3">
        <v>200</v>
      </c>
      <c r="D129" t="s">
        <v>18</v>
      </c>
      <c r="E129">
        <v>539809</v>
      </c>
      <c r="F129" t="s">
        <v>1562</v>
      </c>
      <c r="H129" s="4">
        <v>45819</v>
      </c>
      <c r="I129" t="s">
        <v>1965</v>
      </c>
    </row>
    <row r="130" spans="1:9" x14ac:dyDescent="0.25">
      <c r="A130" t="s">
        <v>1445</v>
      </c>
      <c r="B130" t="s">
        <v>1424</v>
      </c>
      <c r="C130" s="3">
        <v>400</v>
      </c>
      <c r="D130" t="s">
        <v>18</v>
      </c>
      <c r="E130">
        <v>539826</v>
      </c>
      <c r="F130" t="s">
        <v>1562</v>
      </c>
      <c r="H130" s="4">
        <v>45820</v>
      </c>
      <c r="I130" t="s">
        <v>1965</v>
      </c>
    </row>
    <row r="131" spans="1:9" x14ac:dyDescent="0.25">
      <c r="A131" t="s">
        <v>1048</v>
      </c>
      <c r="B131" t="s">
        <v>1424</v>
      </c>
      <c r="C131" s="3">
        <v>200</v>
      </c>
      <c r="D131" t="s">
        <v>18</v>
      </c>
      <c r="E131">
        <v>539829</v>
      </c>
      <c r="F131" t="s">
        <v>1562</v>
      </c>
      <c r="H131" s="4">
        <v>45820</v>
      </c>
      <c r="I131" t="s">
        <v>1965</v>
      </c>
    </row>
    <row r="132" spans="1:9" x14ac:dyDescent="0.25">
      <c r="A132" t="s">
        <v>1444</v>
      </c>
      <c r="B132" t="s">
        <v>1424</v>
      </c>
      <c r="C132" s="3">
        <v>800</v>
      </c>
      <c r="D132" t="s">
        <v>18</v>
      </c>
      <c r="E132">
        <v>539832</v>
      </c>
      <c r="F132" t="s">
        <v>1562</v>
      </c>
      <c r="H132" s="4">
        <v>45820</v>
      </c>
      <c r="I132" t="s">
        <v>1965</v>
      </c>
    </row>
    <row r="133" spans="1:9" x14ac:dyDescent="0.25">
      <c r="A133" t="s">
        <v>1443</v>
      </c>
      <c r="B133" t="s">
        <v>1424</v>
      </c>
      <c r="C133" s="3">
        <v>1200</v>
      </c>
      <c r="D133" t="s">
        <v>18</v>
      </c>
      <c r="E133">
        <v>539846</v>
      </c>
      <c r="F133" t="s">
        <v>1562</v>
      </c>
      <c r="H133" s="4">
        <v>45821</v>
      </c>
      <c r="I133" t="s">
        <v>1965</v>
      </c>
    </row>
    <row r="134" spans="1:9" x14ac:dyDescent="0.25">
      <c r="A134" t="s">
        <v>1459</v>
      </c>
      <c r="B134" t="s">
        <v>1424</v>
      </c>
      <c r="C134" s="3">
        <v>1000</v>
      </c>
      <c r="D134" t="s">
        <v>18</v>
      </c>
      <c r="E134">
        <v>539867</v>
      </c>
      <c r="F134" t="s">
        <v>1562</v>
      </c>
      <c r="H134" s="4">
        <v>45824</v>
      </c>
      <c r="I134" t="s">
        <v>1965</v>
      </c>
    </row>
    <row r="135" spans="1:9" x14ac:dyDescent="0.25">
      <c r="A135" t="s">
        <v>1458</v>
      </c>
      <c r="B135" t="s">
        <v>1424</v>
      </c>
      <c r="C135" s="3">
        <v>200</v>
      </c>
      <c r="D135" t="s">
        <v>18</v>
      </c>
      <c r="E135">
        <v>539868</v>
      </c>
      <c r="F135" t="s">
        <v>1562</v>
      </c>
      <c r="H135" s="4">
        <v>45824</v>
      </c>
      <c r="I135" t="s">
        <v>1965</v>
      </c>
    </row>
    <row r="136" spans="1:9" x14ac:dyDescent="0.25">
      <c r="A136" t="s">
        <v>1457</v>
      </c>
      <c r="B136" t="s">
        <v>1424</v>
      </c>
      <c r="C136" s="3">
        <v>200</v>
      </c>
      <c r="D136" t="s">
        <v>18</v>
      </c>
      <c r="E136">
        <v>539869</v>
      </c>
      <c r="F136" t="s">
        <v>1562</v>
      </c>
      <c r="H136" s="4">
        <v>45824</v>
      </c>
      <c r="I136" t="s">
        <v>1965</v>
      </c>
    </row>
    <row r="137" spans="1:9" x14ac:dyDescent="0.25">
      <c r="A137" t="s">
        <v>1455</v>
      </c>
      <c r="B137" t="s">
        <v>1424</v>
      </c>
      <c r="C137" s="3">
        <v>400</v>
      </c>
      <c r="D137" t="s">
        <v>18</v>
      </c>
      <c r="E137">
        <v>539871</v>
      </c>
      <c r="F137" t="s">
        <v>1562</v>
      </c>
      <c r="H137" s="4">
        <v>45824</v>
      </c>
      <c r="I137" t="s">
        <v>1965</v>
      </c>
    </row>
    <row r="138" spans="1:9" x14ac:dyDescent="0.25">
      <c r="A138" t="s">
        <v>1456</v>
      </c>
      <c r="B138" t="s">
        <v>1424</v>
      </c>
      <c r="C138" s="3">
        <v>200</v>
      </c>
      <c r="D138" t="s">
        <v>18</v>
      </c>
      <c r="E138">
        <v>539873</v>
      </c>
      <c r="F138" t="s">
        <v>1562</v>
      </c>
      <c r="H138" s="4">
        <v>45824</v>
      </c>
      <c r="I138" t="s">
        <v>1965</v>
      </c>
    </row>
    <row r="139" spans="1:9" x14ac:dyDescent="0.25">
      <c r="A139" t="s">
        <v>1454</v>
      </c>
      <c r="B139" t="s">
        <v>1424</v>
      </c>
      <c r="C139" s="3">
        <v>200</v>
      </c>
      <c r="D139" t="s">
        <v>18</v>
      </c>
      <c r="E139">
        <v>539925</v>
      </c>
      <c r="F139" t="s">
        <v>1562</v>
      </c>
      <c r="H139" s="4">
        <v>45825</v>
      </c>
      <c r="I139" t="s">
        <v>1965</v>
      </c>
    </row>
    <row r="140" spans="1:9" x14ac:dyDescent="0.25">
      <c r="A140" t="s">
        <v>1484</v>
      </c>
      <c r="B140" t="s">
        <v>1424</v>
      </c>
      <c r="C140" s="3">
        <v>200</v>
      </c>
      <c r="D140" t="s">
        <v>18</v>
      </c>
      <c r="E140">
        <v>539997</v>
      </c>
      <c r="F140" t="s">
        <v>1562</v>
      </c>
      <c r="H140" s="4">
        <v>45826</v>
      </c>
      <c r="I140" t="s">
        <v>1965</v>
      </c>
    </row>
    <row r="141" spans="1:9" x14ac:dyDescent="0.25">
      <c r="A141" t="s">
        <v>1485</v>
      </c>
      <c r="B141" t="s">
        <v>1424</v>
      </c>
      <c r="C141" s="3">
        <v>200</v>
      </c>
      <c r="D141" t="s">
        <v>18</v>
      </c>
      <c r="E141">
        <v>540025</v>
      </c>
      <c r="F141" t="s">
        <v>1562</v>
      </c>
      <c r="H141" s="4">
        <v>45826</v>
      </c>
      <c r="I141" t="s">
        <v>1965</v>
      </c>
    </row>
    <row r="142" spans="1:9" x14ac:dyDescent="0.25">
      <c r="A142" t="s">
        <v>1483</v>
      </c>
      <c r="B142" t="s">
        <v>1424</v>
      </c>
      <c r="C142" s="3">
        <v>200</v>
      </c>
      <c r="D142" t="s">
        <v>18</v>
      </c>
      <c r="E142">
        <v>540031</v>
      </c>
      <c r="F142" t="s">
        <v>1562</v>
      </c>
      <c r="H142" s="4">
        <v>45827</v>
      </c>
      <c r="I142" t="s">
        <v>1965</v>
      </c>
    </row>
    <row r="143" spans="1:9" x14ac:dyDescent="0.25">
      <c r="A143" t="s">
        <v>1482</v>
      </c>
      <c r="B143" t="s">
        <v>1424</v>
      </c>
      <c r="C143" s="3">
        <v>200</v>
      </c>
      <c r="D143" t="s">
        <v>18</v>
      </c>
      <c r="E143">
        <v>540032</v>
      </c>
      <c r="F143" t="s">
        <v>1562</v>
      </c>
      <c r="H143" s="4">
        <v>45827</v>
      </c>
      <c r="I143" t="s">
        <v>1965</v>
      </c>
    </row>
    <row r="144" spans="1:9" x14ac:dyDescent="0.25">
      <c r="A144" t="s">
        <v>1481</v>
      </c>
      <c r="B144" t="s">
        <v>1424</v>
      </c>
      <c r="C144" s="3">
        <v>600</v>
      </c>
      <c r="D144" t="s">
        <v>18</v>
      </c>
      <c r="E144">
        <v>540033</v>
      </c>
      <c r="F144" t="s">
        <v>1562</v>
      </c>
      <c r="H144" s="4">
        <v>45827</v>
      </c>
      <c r="I144" t="s">
        <v>1965</v>
      </c>
    </row>
    <row r="145" spans="1:9" x14ac:dyDescent="0.25">
      <c r="A145" t="s">
        <v>1480</v>
      </c>
      <c r="B145" t="s">
        <v>1424</v>
      </c>
      <c r="C145" s="3">
        <v>200</v>
      </c>
      <c r="D145" t="s">
        <v>18</v>
      </c>
      <c r="E145">
        <v>540034</v>
      </c>
      <c r="F145" t="s">
        <v>1562</v>
      </c>
      <c r="H145" s="4">
        <v>45827</v>
      </c>
      <c r="I145" t="s">
        <v>1965</v>
      </c>
    </row>
    <row r="146" spans="1:9" x14ac:dyDescent="0.25">
      <c r="A146" t="s">
        <v>1479</v>
      </c>
      <c r="B146" t="s">
        <v>1424</v>
      </c>
      <c r="C146" s="3">
        <v>200</v>
      </c>
      <c r="D146" t="s">
        <v>18</v>
      </c>
      <c r="E146">
        <v>540035</v>
      </c>
      <c r="F146" t="s">
        <v>1562</v>
      </c>
      <c r="H146" s="4">
        <v>45827</v>
      </c>
      <c r="I146" t="s">
        <v>1965</v>
      </c>
    </row>
    <row r="147" spans="1:9" x14ac:dyDescent="0.25">
      <c r="A147" t="s">
        <v>1478</v>
      </c>
      <c r="B147" t="s">
        <v>1424</v>
      </c>
      <c r="C147" s="3">
        <v>400</v>
      </c>
      <c r="D147" t="s">
        <v>18</v>
      </c>
      <c r="E147">
        <v>540036</v>
      </c>
      <c r="F147" t="s">
        <v>1562</v>
      </c>
      <c r="H147" s="4">
        <v>45831</v>
      </c>
      <c r="I147" t="s">
        <v>1965</v>
      </c>
    </row>
    <row r="148" spans="1:9" x14ac:dyDescent="0.25">
      <c r="A148" t="s">
        <v>1477</v>
      </c>
      <c r="B148" t="s">
        <v>1424</v>
      </c>
      <c r="C148" s="3">
        <v>200</v>
      </c>
      <c r="D148" t="s">
        <v>18</v>
      </c>
      <c r="E148">
        <v>540037</v>
      </c>
      <c r="F148" t="s">
        <v>1562</v>
      </c>
      <c r="H148" s="4">
        <v>45831</v>
      </c>
      <c r="I148" t="s">
        <v>1965</v>
      </c>
    </row>
    <row r="149" spans="1:9" x14ac:dyDescent="0.25">
      <c r="A149" t="s">
        <v>35</v>
      </c>
      <c r="B149" t="s">
        <v>1424</v>
      </c>
      <c r="C149" s="3">
        <v>800</v>
      </c>
      <c r="D149" t="s">
        <v>18</v>
      </c>
      <c r="E149">
        <v>540038</v>
      </c>
      <c r="F149" t="s">
        <v>1562</v>
      </c>
      <c r="H149" s="4">
        <v>45831</v>
      </c>
      <c r="I149" t="s">
        <v>1965</v>
      </c>
    </row>
    <row r="150" spans="1:9" x14ac:dyDescent="0.25">
      <c r="A150" t="s">
        <v>1441</v>
      </c>
      <c r="B150" t="s">
        <v>1424</v>
      </c>
      <c r="C150" s="3">
        <v>3800</v>
      </c>
      <c r="D150" t="s">
        <v>18</v>
      </c>
      <c r="E150">
        <v>539124</v>
      </c>
      <c r="F150" t="s">
        <v>1562</v>
      </c>
      <c r="G150" t="s">
        <v>1582</v>
      </c>
      <c r="H150" s="4">
        <v>45831</v>
      </c>
      <c r="I150" t="s">
        <v>1965</v>
      </c>
    </row>
    <row r="151" spans="1:9" x14ac:dyDescent="0.25">
      <c r="A151" t="s">
        <v>1476</v>
      </c>
      <c r="B151" t="s">
        <v>1424</v>
      </c>
      <c r="C151" s="3">
        <v>1000</v>
      </c>
      <c r="D151" t="s">
        <v>18</v>
      </c>
      <c r="E151">
        <v>540042</v>
      </c>
      <c r="F151" t="s">
        <v>1562</v>
      </c>
      <c r="H151" s="4">
        <v>45833</v>
      </c>
      <c r="I151" t="s">
        <v>1965</v>
      </c>
    </row>
    <row r="152" spans="1:9" x14ac:dyDescent="0.25">
      <c r="A152" t="s">
        <v>1475</v>
      </c>
      <c r="B152" t="s">
        <v>1424</v>
      </c>
      <c r="C152" s="3">
        <v>200</v>
      </c>
      <c r="D152" t="s">
        <v>18</v>
      </c>
      <c r="E152">
        <v>540043</v>
      </c>
      <c r="F152" t="s">
        <v>1562</v>
      </c>
      <c r="H152" s="4">
        <v>45833</v>
      </c>
      <c r="I152" t="s">
        <v>1965</v>
      </c>
    </row>
    <row r="153" spans="1:9" x14ac:dyDescent="0.25">
      <c r="A153" t="s">
        <v>1474</v>
      </c>
      <c r="B153" t="s">
        <v>1424</v>
      </c>
      <c r="C153" s="3">
        <v>200</v>
      </c>
      <c r="D153" t="s">
        <v>18</v>
      </c>
      <c r="E153">
        <v>540044</v>
      </c>
      <c r="F153" t="s">
        <v>1562</v>
      </c>
      <c r="H153" s="4">
        <v>45833</v>
      </c>
      <c r="I153" t="s">
        <v>1965</v>
      </c>
    </row>
    <row r="154" spans="1:9" x14ac:dyDescent="0.25">
      <c r="A154" t="s">
        <v>1473</v>
      </c>
      <c r="B154" t="s">
        <v>1424</v>
      </c>
      <c r="C154" s="3">
        <v>200</v>
      </c>
      <c r="D154" t="s">
        <v>18</v>
      </c>
      <c r="E154">
        <v>540045</v>
      </c>
      <c r="F154" t="s">
        <v>1562</v>
      </c>
      <c r="H154" s="4">
        <v>45833</v>
      </c>
      <c r="I154" t="s">
        <v>1965</v>
      </c>
    </row>
    <row r="155" spans="1:9" x14ac:dyDescent="0.25">
      <c r="A155" t="s">
        <v>1472</v>
      </c>
      <c r="B155" t="s">
        <v>1424</v>
      </c>
      <c r="C155" s="3">
        <v>200</v>
      </c>
      <c r="D155" t="s">
        <v>18</v>
      </c>
      <c r="E155">
        <v>540046</v>
      </c>
      <c r="F155" t="s">
        <v>1562</v>
      </c>
      <c r="H155" s="4">
        <v>45833</v>
      </c>
      <c r="I155" t="s">
        <v>1965</v>
      </c>
    </row>
    <row r="156" spans="1:9" x14ac:dyDescent="0.25">
      <c r="A156" t="s">
        <v>1471</v>
      </c>
      <c r="B156" t="s">
        <v>1424</v>
      </c>
      <c r="C156" s="3">
        <v>200</v>
      </c>
      <c r="D156" t="s">
        <v>18</v>
      </c>
      <c r="E156">
        <v>540047</v>
      </c>
      <c r="F156" t="s">
        <v>1562</v>
      </c>
      <c r="H156" s="4">
        <v>45833</v>
      </c>
      <c r="I156" t="s">
        <v>1965</v>
      </c>
    </row>
    <row r="157" spans="1:9" x14ac:dyDescent="0.25">
      <c r="A157" t="s">
        <v>1470</v>
      </c>
      <c r="B157" t="s">
        <v>1424</v>
      </c>
      <c r="C157" s="3">
        <v>200</v>
      </c>
      <c r="D157" t="s">
        <v>18</v>
      </c>
      <c r="E157">
        <v>540048</v>
      </c>
      <c r="F157" t="s">
        <v>1562</v>
      </c>
      <c r="H157" s="4">
        <v>45833</v>
      </c>
      <c r="I157" t="s">
        <v>1965</v>
      </c>
    </row>
    <row r="158" spans="1:9" x14ac:dyDescent="0.25">
      <c r="A158" t="s">
        <v>1469</v>
      </c>
      <c r="B158" t="s">
        <v>1424</v>
      </c>
      <c r="C158" s="3">
        <v>200</v>
      </c>
      <c r="D158" t="s">
        <v>18</v>
      </c>
      <c r="E158">
        <v>540049</v>
      </c>
      <c r="F158" t="s">
        <v>1562</v>
      </c>
      <c r="H158" s="4">
        <v>45833</v>
      </c>
      <c r="I158" t="s">
        <v>1965</v>
      </c>
    </row>
    <row r="159" spans="1:9" x14ac:dyDescent="0.25">
      <c r="A159" t="s">
        <v>1468</v>
      </c>
      <c r="B159" t="s">
        <v>1424</v>
      </c>
      <c r="C159" s="3">
        <v>200</v>
      </c>
      <c r="D159" t="s">
        <v>18</v>
      </c>
      <c r="E159">
        <v>540050</v>
      </c>
      <c r="F159" t="s">
        <v>1562</v>
      </c>
      <c r="H159" s="4">
        <v>45833</v>
      </c>
      <c r="I159" t="s">
        <v>1965</v>
      </c>
    </row>
    <row r="160" spans="1:9" x14ac:dyDescent="0.25">
      <c r="A160" t="s">
        <v>1467</v>
      </c>
      <c r="B160" t="s">
        <v>1424</v>
      </c>
      <c r="C160" s="3">
        <v>200</v>
      </c>
      <c r="D160" t="s">
        <v>18</v>
      </c>
      <c r="E160">
        <v>540051</v>
      </c>
      <c r="F160" t="s">
        <v>1562</v>
      </c>
      <c r="H160" s="4">
        <v>45833</v>
      </c>
      <c r="I160" t="s">
        <v>1965</v>
      </c>
    </row>
    <row r="161" spans="1:9" x14ac:dyDescent="0.25">
      <c r="A161" t="s">
        <v>1466</v>
      </c>
      <c r="B161" t="s">
        <v>1424</v>
      </c>
      <c r="C161" s="3">
        <v>200</v>
      </c>
      <c r="D161" t="s">
        <v>18</v>
      </c>
      <c r="E161">
        <v>540052</v>
      </c>
      <c r="F161" t="s">
        <v>1562</v>
      </c>
      <c r="H161" s="4">
        <v>45833</v>
      </c>
      <c r="I161" t="s">
        <v>1965</v>
      </c>
    </row>
    <row r="162" spans="1:9" x14ac:dyDescent="0.25">
      <c r="A162" t="s">
        <v>1465</v>
      </c>
      <c r="B162" t="s">
        <v>1424</v>
      </c>
      <c r="C162" s="3">
        <v>200</v>
      </c>
      <c r="D162" t="s">
        <v>18</v>
      </c>
      <c r="E162">
        <v>540053</v>
      </c>
      <c r="F162" t="s">
        <v>1562</v>
      </c>
      <c r="H162" s="4">
        <v>45833</v>
      </c>
      <c r="I162" t="s">
        <v>1965</v>
      </c>
    </row>
    <row r="163" spans="1:9" x14ac:dyDescent="0.25">
      <c r="A163" t="s">
        <v>1464</v>
      </c>
      <c r="B163" t="s">
        <v>1424</v>
      </c>
      <c r="C163" s="3">
        <v>200</v>
      </c>
      <c r="D163" t="s">
        <v>18</v>
      </c>
      <c r="E163">
        <v>540054</v>
      </c>
      <c r="F163" t="s">
        <v>1562</v>
      </c>
      <c r="H163" s="4">
        <v>45833</v>
      </c>
      <c r="I163" t="s">
        <v>1965</v>
      </c>
    </row>
    <row r="164" spans="1:9" x14ac:dyDescent="0.25">
      <c r="A164" t="s">
        <v>1463</v>
      </c>
      <c r="B164" t="s">
        <v>1424</v>
      </c>
      <c r="C164" s="3">
        <v>1000</v>
      </c>
      <c r="D164" t="s">
        <v>18</v>
      </c>
      <c r="E164">
        <v>540055</v>
      </c>
      <c r="F164" t="s">
        <v>1562</v>
      </c>
      <c r="H164" s="4">
        <v>45833</v>
      </c>
      <c r="I164" t="s">
        <v>1965</v>
      </c>
    </row>
    <row r="165" spans="1:9" x14ac:dyDescent="0.25">
      <c r="A165" t="s">
        <v>1462</v>
      </c>
      <c r="B165" t="s">
        <v>1424</v>
      </c>
      <c r="C165" s="3">
        <v>600</v>
      </c>
      <c r="D165" t="s">
        <v>18</v>
      </c>
      <c r="E165">
        <v>540056</v>
      </c>
      <c r="F165" t="s">
        <v>1562</v>
      </c>
      <c r="H165" s="4">
        <v>45833</v>
      </c>
      <c r="I165" t="s">
        <v>1965</v>
      </c>
    </row>
    <row r="166" spans="1:9" x14ac:dyDescent="0.25">
      <c r="A166" t="s">
        <v>1461</v>
      </c>
      <c r="B166" t="s">
        <v>1424</v>
      </c>
      <c r="C166" s="3">
        <v>200</v>
      </c>
      <c r="D166" t="s">
        <v>18</v>
      </c>
      <c r="E166">
        <v>540057</v>
      </c>
      <c r="F166" t="s">
        <v>1562</v>
      </c>
      <c r="H166" s="4">
        <v>45833</v>
      </c>
      <c r="I166" t="s">
        <v>1965</v>
      </c>
    </row>
    <row r="167" spans="1:9" x14ac:dyDescent="0.25">
      <c r="A167" t="s">
        <v>1460</v>
      </c>
      <c r="B167" t="s">
        <v>1424</v>
      </c>
      <c r="C167" s="3">
        <v>200</v>
      </c>
      <c r="D167" t="s">
        <v>18</v>
      </c>
      <c r="E167">
        <v>540058</v>
      </c>
      <c r="F167" t="s">
        <v>1562</v>
      </c>
      <c r="H167" s="4">
        <v>45833</v>
      </c>
      <c r="I167" t="s">
        <v>1965</v>
      </c>
    </row>
    <row r="168" spans="1:9" x14ac:dyDescent="0.25">
      <c r="A168" t="s">
        <v>1501</v>
      </c>
      <c r="B168" t="s">
        <v>1424</v>
      </c>
      <c r="C168" s="3">
        <v>400</v>
      </c>
      <c r="D168" t="s">
        <v>18</v>
      </c>
      <c r="E168">
        <v>541071</v>
      </c>
      <c r="F168" t="s">
        <v>1562</v>
      </c>
      <c r="H168" s="4">
        <v>45835</v>
      </c>
      <c r="I168" t="s">
        <v>1965</v>
      </c>
    </row>
    <row r="169" spans="1:9" x14ac:dyDescent="0.25">
      <c r="A169" t="s">
        <v>1500</v>
      </c>
      <c r="B169" t="s">
        <v>1424</v>
      </c>
      <c r="C169" s="3">
        <v>200</v>
      </c>
      <c r="D169" t="s">
        <v>18</v>
      </c>
      <c r="E169">
        <v>541072</v>
      </c>
      <c r="F169" t="s">
        <v>1562</v>
      </c>
      <c r="H169" s="4">
        <v>45835</v>
      </c>
      <c r="I169" t="s">
        <v>1965</v>
      </c>
    </row>
    <row r="170" spans="1:9" x14ac:dyDescent="0.25">
      <c r="A170" t="s">
        <v>658</v>
      </c>
      <c r="B170" t="s">
        <v>1424</v>
      </c>
      <c r="C170" s="3">
        <v>200</v>
      </c>
      <c r="D170" t="s">
        <v>18</v>
      </c>
      <c r="E170">
        <v>541073</v>
      </c>
      <c r="F170" t="s">
        <v>1562</v>
      </c>
      <c r="H170" s="4">
        <v>45835</v>
      </c>
      <c r="I170" t="s">
        <v>1965</v>
      </c>
    </row>
    <row r="171" spans="1:9" x14ac:dyDescent="0.25">
      <c r="A171" t="s">
        <v>1499</v>
      </c>
      <c r="B171" t="s">
        <v>1424</v>
      </c>
      <c r="C171" s="3">
        <v>200</v>
      </c>
      <c r="D171" t="s">
        <v>18</v>
      </c>
      <c r="E171">
        <v>541074</v>
      </c>
      <c r="F171" t="s">
        <v>1562</v>
      </c>
      <c r="H171" s="4">
        <v>45835</v>
      </c>
      <c r="I171" t="s">
        <v>1965</v>
      </c>
    </row>
    <row r="172" spans="1:9" x14ac:dyDescent="0.25">
      <c r="A172" t="s">
        <v>1498</v>
      </c>
      <c r="B172" t="s">
        <v>1424</v>
      </c>
      <c r="C172" s="3">
        <v>200</v>
      </c>
      <c r="D172" t="s">
        <v>18</v>
      </c>
      <c r="E172">
        <v>541075</v>
      </c>
      <c r="F172" t="s">
        <v>1562</v>
      </c>
      <c r="H172" s="4">
        <v>45835</v>
      </c>
      <c r="I172" t="s">
        <v>1965</v>
      </c>
    </row>
    <row r="173" spans="1:9" x14ac:dyDescent="0.25">
      <c r="A173" t="s">
        <v>1441</v>
      </c>
      <c r="B173" t="s">
        <v>1424</v>
      </c>
      <c r="C173" s="3">
        <v>1000</v>
      </c>
      <c r="D173" t="s">
        <v>18</v>
      </c>
      <c r="E173">
        <v>539651</v>
      </c>
      <c r="F173" t="s">
        <v>1562</v>
      </c>
      <c r="H173" s="4">
        <v>45849</v>
      </c>
      <c r="I173" t="s">
        <v>1965</v>
      </c>
    </row>
    <row r="174" spans="1:9" x14ac:dyDescent="0.25">
      <c r="A174" t="s">
        <v>1036</v>
      </c>
      <c r="B174" t="s">
        <v>1424</v>
      </c>
      <c r="C174" s="3">
        <v>140</v>
      </c>
      <c r="D174" t="s">
        <v>18</v>
      </c>
      <c r="E174">
        <v>541076</v>
      </c>
      <c r="F174" t="s">
        <v>1562</v>
      </c>
      <c r="H174" s="4">
        <v>45854</v>
      </c>
      <c r="I174" t="s">
        <v>1965</v>
      </c>
    </row>
    <row r="175" spans="1:9" x14ac:dyDescent="0.25">
      <c r="A175" t="s">
        <v>1446</v>
      </c>
      <c r="B175" t="s">
        <v>1424</v>
      </c>
      <c r="C175" s="3">
        <v>70</v>
      </c>
      <c r="D175" t="s">
        <v>18</v>
      </c>
      <c r="E175">
        <v>541077</v>
      </c>
      <c r="F175" t="s">
        <v>1562</v>
      </c>
      <c r="H175" s="4">
        <v>45854</v>
      </c>
      <c r="I175" t="s">
        <v>1965</v>
      </c>
    </row>
    <row r="176" spans="1:9" x14ac:dyDescent="0.25">
      <c r="A176" t="s">
        <v>1048</v>
      </c>
      <c r="B176" t="s">
        <v>1424</v>
      </c>
      <c r="C176" s="3">
        <v>70</v>
      </c>
      <c r="D176" t="s">
        <v>18</v>
      </c>
      <c r="E176">
        <v>541078</v>
      </c>
      <c r="F176" t="s">
        <v>1562</v>
      </c>
      <c r="H176" s="4">
        <v>45854</v>
      </c>
      <c r="I176" t="s">
        <v>1965</v>
      </c>
    </row>
    <row r="177" spans="1:9" x14ac:dyDescent="0.25">
      <c r="A177" t="s">
        <v>1497</v>
      </c>
      <c r="B177" t="s">
        <v>1424</v>
      </c>
      <c r="C177" s="3">
        <v>70</v>
      </c>
      <c r="D177" t="s">
        <v>18</v>
      </c>
      <c r="E177">
        <v>541079</v>
      </c>
      <c r="F177" t="s">
        <v>1562</v>
      </c>
      <c r="H177" s="4">
        <v>45854</v>
      </c>
      <c r="I177" t="s">
        <v>1965</v>
      </c>
    </row>
    <row r="178" spans="1:9" x14ac:dyDescent="0.25">
      <c r="A178" t="s">
        <v>1496</v>
      </c>
      <c r="B178" t="s">
        <v>1424</v>
      </c>
      <c r="C178" s="3">
        <v>70</v>
      </c>
      <c r="D178" t="s">
        <v>18</v>
      </c>
      <c r="E178">
        <v>541080</v>
      </c>
      <c r="F178" t="s">
        <v>1562</v>
      </c>
      <c r="H178" s="4">
        <v>45854</v>
      </c>
      <c r="I178" t="s">
        <v>1965</v>
      </c>
    </row>
    <row r="179" spans="1:9" x14ac:dyDescent="0.25">
      <c r="A179" t="s">
        <v>1455</v>
      </c>
      <c r="B179" t="s">
        <v>1424</v>
      </c>
      <c r="C179" s="3">
        <v>70</v>
      </c>
      <c r="D179" t="s">
        <v>18</v>
      </c>
      <c r="E179">
        <v>541081</v>
      </c>
      <c r="F179" t="s">
        <v>1562</v>
      </c>
      <c r="H179" s="4">
        <v>45854</v>
      </c>
      <c r="I179" t="s">
        <v>1965</v>
      </c>
    </row>
    <row r="180" spans="1:9" x14ac:dyDescent="0.25">
      <c r="A180" t="s">
        <v>1495</v>
      </c>
      <c r="B180" t="s">
        <v>1424</v>
      </c>
      <c r="C180" s="3">
        <v>70</v>
      </c>
      <c r="D180" t="s">
        <v>18</v>
      </c>
      <c r="E180">
        <v>541082</v>
      </c>
      <c r="F180" t="s">
        <v>1562</v>
      </c>
      <c r="H180" s="4">
        <v>45854</v>
      </c>
      <c r="I180" t="s">
        <v>1965</v>
      </c>
    </row>
    <row r="181" spans="1:9" x14ac:dyDescent="0.25">
      <c r="A181" t="s">
        <v>658</v>
      </c>
      <c r="B181" t="s">
        <v>1424</v>
      </c>
      <c r="C181" s="3">
        <v>70</v>
      </c>
      <c r="D181" t="s">
        <v>18</v>
      </c>
      <c r="E181">
        <v>541083</v>
      </c>
      <c r="F181" t="s">
        <v>1562</v>
      </c>
      <c r="H181" s="4">
        <v>45854</v>
      </c>
      <c r="I181" t="s">
        <v>1965</v>
      </c>
    </row>
    <row r="182" spans="1:9" x14ac:dyDescent="0.25">
      <c r="A182" t="s">
        <v>1494</v>
      </c>
      <c r="B182" t="s">
        <v>1424</v>
      </c>
      <c r="C182" s="3">
        <v>20</v>
      </c>
      <c r="D182" t="s">
        <v>18</v>
      </c>
      <c r="E182">
        <v>541084</v>
      </c>
      <c r="F182" t="s">
        <v>1562</v>
      </c>
      <c r="H182" s="4">
        <v>45854</v>
      </c>
      <c r="I182" t="s">
        <v>1965</v>
      </c>
    </row>
    <row r="183" spans="1:9" x14ac:dyDescent="0.25">
      <c r="A183" t="s">
        <v>1434</v>
      </c>
      <c r="B183" t="s">
        <v>1424</v>
      </c>
      <c r="C183" s="3">
        <v>20</v>
      </c>
      <c r="D183" t="s">
        <v>18</v>
      </c>
      <c r="E183">
        <v>541085</v>
      </c>
      <c r="F183" t="s">
        <v>1562</v>
      </c>
      <c r="H183" s="4">
        <v>45854</v>
      </c>
      <c r="I183" t="s">
        <v>1965</v>
      </c>
    </row>
    <row r="184" spans="1:9" x14ac:dyDescent="0.25">
      <c r="A184" t="s">
        <v>1462</v>
      </c>
      <c r="B184" t="s">
        <v>1424</v>
      </c>
      <c r="C184" s="3">
        <v>150</v>
      </c>
      <c r="D184" t="s">
        <v>18</v>
      </c>
      <c r="E184">
        <v>541086</v>
      </c>
      <c r="F184" t="s">
        <v>1562</v>
      </c>
      <c r="H184" s="4">
        <v>45854</v>
      </c>
      <c r="I184" t="s">
        <v>1965</v>
      </c>
    </row>
    <row r="185" spans="1:9" x14ac:dyDescent="0.25">
      <c r="A185" t="s">
        <v>1459</v>
      </c>
      <c r="B185" t="s">
        <v>1424</v>
      </c>
      <c r="C185" s="3">
        <v>70</v>
      </c>
      <c r="D185" t="s">
        <v>18</v>
      </c>
      <c r="E185">
        <v>541087</v>
      </c>
      <c r="F185" t="s">
        <v>1562</v>
      </c>
      <c r="H185" s="4">
        <v>45854</v>
      </c>
      <c r="I185" t="s">
        <v>1965</v>
      </c>
    </row>
    <row r="186" spans="1:9" x14ac:dyDescent="0.25">
      <c r="A186" t="s">
        <v>1472</v>
      </c>
      <c r="B186" t="s">
        <v>1424</v>
      </c>
      <c r="C186" s="3">
        <v>180</v>
      </c>
      <c r="D186" t="s">
        <v>18</v>
      </c>
      <c r="E186">
        <v>541088</v>
      </c>
      <c r="F186" t="s">
        <v>1562</v>
      </c>
      <c r="H186" s="4">
        <v>45854</v>
      </c>
      <c r="I186" t="s">
        <v>1965</v>
      </c>
    </row>
    <row r="187" spans="1:9" x14ac:dyDescent="0.25">
      <c r="A187" t="s">
        <v>1493</v>
      </c>
      <c r="B187" t="s">
        <v>1424</v>
      </c>
      <c r="C187" s="3">
        <v>20</v>
      </c>
      <c r="D187" t="s">
        <v>18</v>
      </c>
      <c r="E187">
        <v>541089</v>
      </c>
      <c r="F187" t="s">
        <v>1562</v>
      </c>
      <c r="H187" s="4">
        <v>45854</v>
      </c>
      <c r="I187" t="s">
        <v>1965</v>
      </c>
    </row>
    <row r="188" spans="1:9" x14ac:dyDescent="0.25">
      <c r="A188" t="s">
        <v>1492</v>
      </c>
      <c r="B188" t="s">
        <v>1424</v>
      </c>
      <c r="C188" s="3">
        <v>20</v>
      </c>
      <c r="D188" t="s">
        <v>18</v>
      </c>
      <c r="E188">
        <v>541090</v>
      </c>
      <c r="F188" t="s">
        <v>1562</v>
      </c>
      <c r="H188" s="4">
        <v>45854</v>
      </c>
      <c r="I188" t="s">
        <v>1965</v>
      </c>
    </row>
    <row r="189" spans="1:9" x14ac:dyDescent="0.25">
      <c r="A189" t="s">
        <v>1491</v>
      </c>
      <c r="B189" t="s">
        <v>1424</v>
      </c>
      <c r="C189" s="3">
        <v>100</v>
      </c>
      <c r="D189" t="s">
        <v>18</v>
      </c>
      <c r="E189">
        <v>541091</v>
      </c>
      <c r="F189" t="s">
        <v>1562</v>
      </c>
      <c r="H189" s="4">
        <v>45854</v>
      </c>
      <c r="I189" t="s">
        <v>1965</v>
      </c>
    </row>
    <row r="190" spans="1:9" x14ac:dyDescent="0.25">
      <c r="A190" t="s">
        <v>1438</v>
      </c>
      <c r="B190" t="s">
        <v>1424</v>
      </c>
      <c r="C190" s="3">
        <v>100</v>
      </c>
      <c r="D190" t="s">
        <v>18</v>
      </c>
      <c r="E190">
        <v>541092</v>
      </c>
      <c r="F190" t="s">
        <v>1562</v>
      </c>
      <c r="H190" s="4">
        <v>45854</v>
      </c>
      <c r="I190" t="s">
        <v>1965</v>
      </c>
    </row>
    <row r="191" spans="1:9" x14ac:dyDescent="0.25">
      <c r="A191" t="s">
        <v>1490</v>
      </c>
      <c r="B191" t="s">
        <v>1424</v>
      </c>
      <c r="C191" s="3">
        <v>70</v>
      </c>
      <c r="D191" t="s">
        <v>18</v>
      </c>
      <c r="E191">
        <v>541093</v>
      </c>
      <c r="F191" t="s">
        <v>1562</v>
      </c>
      <c r="H191" s="4">
        <v>45854</v>
      </c>
      <c r="I191" t="s">
        <v>1965</v>
      </c>
    </row>
    <row r="192" spans="1:9" x14ac:dyDescent="0.25">
      <c r="A192" t="s">
        <v>1489</v>
      </c>
      <c r="B192" t="s">
        <v>1424</v>
      </c>
      <c r="C192" s="3">
        <v>50</v>
      </c>
      <c r="D192" t="s">
        <v>18</v>
      </c>
      <c r="E192">
        <v>541094</v>
      </c>
      <c r="F192" t="s">
        <v>1562</v>
      </c>
      <c r="H192" s="4">
        <v>45854</v>
      </c>
      <c r="I192" t="s">
        <v>1965</v>
      </c>
    </row>
    <row r="193" spans="1:9" x14ac:dyDescent="0.25">
      <c r="A193" t="s">
        <v>1488</v>
      </c>
      <c r="B193" t="s">
        <v>1424</v>
      </c>
      <c r="C193" s="3">
        <v>160</v>
      </c>
      <c r="D193" t="s">
        <v>18</v>
      </c>
      <c r="E193">
        <v>541095</v>
      </c>
      <c r="F193" t="s">
        <v>1562</v>
      </c>
      <c r="H193" s="4">
        <v>45854</v>
      </c>
      <c r="I193" t="s">
        <v>1965</v>
      </c>
    </row>
    <row r="194" spans="1:9" x14ac:dyDescent="0.25">
      <c r="A194" t="s">
        <v>670</v>
      </c>
      <c r="B194" t="s">
        <v>1424</v>
      </c>
      <c r="C194" s="3">
        <v>70</v>
      </c>
      <c r="D194" t="s">
        <v>18</v>
      </c>
      <c r="E194">
        <v>541096</v>
      </c>
      <c r="F194" t="s">
        <v>1562</v>
      </c>
      <c r="H194" s="4">
        <v>45854</v>
      </c>
      <c r="I194" t="s">
        <v>1965</v>
      </c>
    </row>
    <row r="195" spans="1:9" x14ac:dyDescent="0.25">
      <c r="A195" t="s">
        <v>1241</v>
      </c>
      <c r="B195" t="s">
        <v>1424</v>
      </c>
      <c r="C195" s="3">
        <v>240</v>
      </c>
      <c r="D195" t="s">
        <v>18</v>
      </c>
      <c r="E195">
        <v>541097</v>
      </c>
      <c r="F195" t="s">
        <v>1562</v>
      </c>
      <c r="H195" s="4">
        <v>45854</v>
      </c>
      <c r="I195" t="s">
        <v>1965</v>
      </c>
    </row>
    <row r="196" spans="1:9" x14ac:dyDescent="0.25">
      <c r="A196" t="s">
        <v>1487</v>
      </c>
      <c r="B196" t="s">
        <v>1424</v>
      </c>
      <c r="C196" s="3">
        <v>90</v>
      </c>
      <c r="D196" t="s">
        <v>18</v>
      </c>
      <c r="E196">
        <v>541098</v>
      </c>
      <c r="F196" t="s">
        <v>1562</v>
      </c>
      <c r="H196" s="4">
        <v>45854</v>
      </c>
      <c r="I196" t="s">
        <v>1965</v>
      </c>
    </row>
    <row r="197" spans="1:9" x14ac:dyDescent="0.25">
      <c r="A197" t="s">
        <v>1451</v>
      </c>
      <c r="B197" t="s">
        <v>1424</v>
      </c>
      <c r="C197" s="3">
        <v>70</v>
      </c>
      <c r="D197" t="s">
        <v>18</v>
      </c>
      <c r="E197">
        <v>541099</v>
      </c>
      <c r="F197" t="s">
        <v>1562</v>
      </c>
      <c r="H197" s="4">
        <v>45854</v>
      </c>
      <c r="I197" t="s">
        <v>1965</v>
      </c>
    </row>
    <row r="198" spans="1:9" x14ac:dyDescent="0.25">
      <c r="A198" t="s">
        <v>1486</v>
      </c>
      <c r="B198" t="s">
        <v>1424</v>
      </c>
      <c r="C198" s="3">
        <v>140</v>
      </c>
      <c r="D198" t="s">
        <v>18</v>
      </c>
      <c r="E198">
        <v>541100</v>
      </c>
      <c r="F198" t="s">
        <v>1562</v>
      </c>
      <c r="H198" s="4">
        <v>45854</v>
      </c>
      <c r="I198" t="s">
        <v>1965</v>
      </c>
    </row>
    <row r="199" spans="1:9" x14ac:dyDescent="0.25">
      <c r="A199" t="s">
        <v>1482</v>
      </c>
      <c r="B199" t="s">
        <v>1424</v>
      </c>
      <c r="C199" s="3">
        <v>50</v>
      </c>
      <c r="D199" t="s">
        <v>18</v>
      </c>
      <c r="E199">
        <v>541101</v>
      </c>
      <c r="F199" t="s">
        <v>1562</v>
      </c>
      <c r="H199" s="4">
        <v>45854</v>
      </c>
      <c r="I199" t="s">
        <v>1965</v>
      </c>
    </row>
    <row r="200" spans="1:9" x14ac:dyDescent="0.25">
      <c r="A200" t="s">
        <v>1468</v>
      </c>
      <c r="B200" t="s">
        <v>1424</v>
      </c>
      <c r="C200" s="3">
        <v>80</v>
      </c>
      <c r="D200" t="s">
        <v>18</v>
      </c>
      <c r="E200">
        <v>541102</v>
      </c>
      <c r="F200" t="s">
        <v>1562</v>
      </c>
      <c r="H200" s="4">
        <v>45854</v>
      </c>
      <c r="I200" t="s">
        <v>1965</v>
      </c>
    </row>
    <row r="201" spans="1:9" x14ac:dyDescent="0.25">
      <c r="A201" t="s">
        <v>1480</v>
      </c>
      <c r="B201" t="s">
        <v>1424</v>
      </c>
      <c r="C201" s="3">
        <v>50</v>
      </c>
      <c r="D201" t="s">
        <v>18</v>
      </c>
      <c r="E201">
        <v>541103</v>
      </c>
      <c r="F201" t="s">
        <v>1562</v>
      </c>
      <c r="H201" s="4">
        <v>45855</v>
      </c>
      <c r="I201" t="s">
        <v>1965</v>
      </c>
    </row>
    <row r="202" spans="1:9" x14ac:dyDescent="0.25">
      <c r="A202" t="s">
        <v>1442</v>
      </c>
      <c r="B202" t="s">
        <v>1424</v>
      </c>
      <c r="C202" s="3">
        <v>70</v>
      </c>
      <c r="D202" t="s">
        <v>18</v>
      </c>
      <c r="E202">
        <v>541104</v>
      </c>
      <c r="F202" t="s">
        <v>1562</v>
      </c>
      <c r="H202" s="4">
        <v>45855</v>
      </c>
      <c r="I202" t="s">
        <v>1965</v>
      </c>
    </row>
    <row r="203" spans="1:9" x14ac:dyDescent="0.25">
      <c r="A203" t="s">
        <v>1448</v>
      </c>
      <c r="B203" t="s">
        <v>1424</v>
      </c>
      <c r="C203" s="3">
        <v>50</v>
      </c>
      <c r="D203" t="s">
        <v>18</v>
      </c>
      <c r="E203">
        <v>541105</v>
      </c>
      <c r="F203" t="s">
        <v>1562</v>
      </c>
      <c r="H203" s="4">
        <v>45856</v>
      </c>
      <c r="I203" t="s">
        <v>1965</v>
      </c>
    </row>
    <row r="204" spans="1:9" x14ac:dyDescent="0.25">
      <c r="A204" t="s">
        <v>1425</v>
      </c>
      <c r="B204" t="s">
        <v>1424</v>
      </c>
      <c r="C204" s="3">
        <v>5000</v>
      </c>
      <c r="D204" t="s">
        <v>18</v>
      </c>
      <c r="E204">
        <v>540143</v>
      </c>
      <c r="F204" t="s">
        <v>1562</v>
      </c>
      <c r="H204" s="4">
        <v>45860</v>
      </c>
      <c r="I204" t="s">
        <v>1965</v>
      </c>
    </row>
    <row r="205" spans="1:9" x14ac:dyDescent="0.25">
      <c r="A205" t="s">
        <v>1425</v>
      </c>
      <c r="B205" t="s">
        <v>1424</v>
      </c>
      <c r="C205" s="3">
        <v>10000</v>
      </c>
      <c r="D205" t="s">
        <v>18</v>
      </c>
      <c r="E205">
        <v>543234</v>
      </c>
      <c r="F205" t="s">
        <v>1562</v>
      </c>
      <c r="H205" s="4">
        <v>45932</v>
      </c>
      <c r="I205" t="s">
        <v>1965</v>
      </c>
    </row>
    <row r="206" spans="1:9" x14ac:dyDescent="0.25">
      <c r="A206" t="s">
        <v>14</v>
      </c>
      <c r="B206" t="s">
        <v>1393</v>
      </c>
      <c r="C206" s="3">
        <v>30</v>
      </c>
      <c r="D206" t="s">
        <v>3</v>
      </c>
      <c r="E206">
        <v>536945</v>
      </c>
      <c r="F206" t="s">
        <v>1562</v>
      </c>
      <c r="G206" t="s">
        <v>1583</v>
      </c>
      <c r="H206" s="4">
        <v>45782</v>
      </c>
      <c r="I206" t="s">
        <v>1965</v>
      </c>
    </row>
    <row r="207" spans="1:9" x14ac:dyDescent="0.25">
      <c r="A207" t="s">
        <v>1423</v>
      </c>
      <c r="B207" t="s">
        <v>1393</v>
      </c>
      <c r="C207" s="3">
        <v>30</v>
      </c>
      <c r="D207" t="s">
        <v>3</v>
      </c>
      <c r="E207">
        <v>536946</v>
      </c>
      <c r="F207" t="s">
        <v>1562</v>
      </c>
      <c r="G207" t="s">
        <v>1584</v>
      </c>
      <c r="H207" s="4">
        <v>45782</v>
      </c>
      <c r="I207" t="s">
        <v>1965</v>
      </c>
    </row>
    <row r="208" spans="1:9" x14ac:dyDescent="0.25">
      <c r="A208" t="s">
        <v>1417</v>
      </c>
      <c r="B208" t="s">
        <v>1393</v>
      </c>
      <c r="C208" s="3">
        <v>20</v>
      </c>
      <c r="D208" t="s">
        <v>3</v>
      </c>
      <c r="E208">
        <v>536947</v>
      </c>
      <c r="F208" t="s">
        <v>1562</v>
      </c>
      <c r="G208" t="s">
        <v>1584</v>
      </c>
      <c r="H208" s="4">
        <v>45782</v>
      </c>
      <c r="I208" t="s">
        <v>1965</v>
      </c>
    </row>
    <row r="209" spans="1:9" x14ac:dyDescent="0.25">
      <c r="A209" t="s">
        <v>223</v>
      </c>
      <c r="B209" t="s">
        <v>1393</v>
      </c>
      <c r="C209" s="3">
        <v>50</v>
      </c>
      <c r="D209" t="s">
        <v>3</v>
      </c>
      <c r="E209">
        <v>536948</v>
      </c>
      <c r="F209" t="s">
        <v>1562</v>
      </c>
      <c r="G209" t="s">
        <v>1584</v>
      </c>
      <c r="H209" s="4">
        <v>45782</v>
      </c>
      <c r="I209" t="s">
        <v>1965</v>
      </c>
    </row>
    <row r="210" spans="1:9" x14ac:dyDescent="0.25">
      <c r="A210" t="s">
        <v>1422</v>
      </c>
      <c r="B210" t="s">
        <v>1393</v>
      </c>
      <c r="C210" s="3">
        <v>30</v>
      </c>
      <c r="D210" t="s">
        <v>3</v>
      </c>
      <c r="E210">
        <v>536949</v>
      </c>
      <c r="F210" t="s">
        <v>1562</v>
      </c>
      <c r="G210" t="s">
        <v>1585</v>
      </c>
      <c r="H210" s="4">
        <v>45782</v>
      </c>
      <c r="I210" t="s">
        <v>1965</v>
      </c>
    </row>
    <row r="211" spans="1:9" x14ac:dyDescent="0.25">
      <c r="A211" t="s">
        <v>1421</v>
      </c>
      <c r="B211" t="s">
        <v>1393</v>
      </c>
      <c r="C211" s="3">
        <v>60</v>
      </c>
      <c r="D211" t="s">
        <v>3</v>
      </c>
      <c r="E211">
        <v>536950</v>
      </c>
      <c r="F211" t="s">
        <v>1562</v>
      </c>
      <c r="G211" t="s">
        <v>1585</v>
      </c>
      <c r="H211" s="4">
        <v>45782</v>
      </c>
      <c r="I211" t="s">
        <v>1965</v>
      </c>
    </row>
    <row r="212" spans="1:9" x14ac:dyDescent="0.25">
      <c r="A212" t="s">
        <v>1420</v>
      </c>
      <c r="B212" t="s">
        <v>1393</v>
      </c>
      <c r="C212" s="3">
        <v>130</v>
      </c>
      <c r="D212" t="s">
        <v>3</v>
      </c>
      <c r="E212">
        <v>536951</v>
      </c>
      <c r="F212" t="s">
        <v>1562</v>
      </c>
      <c r="G212" t="s">
        <v>1585</v>
      </c>
      <c r="H212" s="4">
        <v>45782</v>
      </c>
      <c r="I212" t="s">
        <v>1965</v>
      </c>
    </row>
    <row r="213" spans="1:9" x14ac:dyDescent="0.25">
      <c r="A213" t="s">
        <v>190</v>
      </c>
      <c r="B213" t="s">
        <v>1393</v>
      </c>
      <c r="C213" s="3">
        <v>20</v>
      </c>
      <c r="D213" t="s">
        <v>3</v>
      </c>
      <c r="E213">
        <v>536952</v>
      </c>
      <c r="F213" t="s">
        <v>1562</v>
      </c>
      <c r="G213" t="s">
        <v>1586</v>
      </c>
      <c r="H213" s="4">
        <v>45782</v>
      </c>
      <c r="I213" t="s">
        <v>1965</v>
      </c>
    </row>
    <row r="214" spans="1:9" x14ac:dyDescent="0.25">
      <c r="A214" t="s">
        <v>1419</v>
      </c>
      <c r="B214" t="s">
        <v>1393</v>
      </c>
      <c r="C214" s="3">
        <v>100</v>
      </c>
      <c r="D214" t="s">
        <v>3</v>
      </c>
      <c r="E214">
        <v>536953</v>
      </c>
      <c r="F214" t="s">
        <v>1562</v>
      </c>
      <c r="G214" t="s">
        <v>1586</v>
      </c>
      <c r="H214" s="4">
        <v>45782</v>
      </c>
      <c r="I214" t="s">
        <v>1965</v>
      </c>
    </row>
    <row r="215" spans="1:9" x14ac:dyDescent="0.25">
      <c r="A215" t="s">
        <v>1418</v>
      </c>
      <c r="B215" t="s">
        <v>1393</v>
      </c>
      <c r="C215" s="3">
        <v>613.5</v>
      </c>
      <c r="D215" t="s">
        <v>3</v>
      </c>
      <c r="E215">
        <v>536954</v>
      </c>
      <c r="F215" t="s">
        <v>1562</v>
      </c>
      <c r="G215" t="s">
        <v>1586</v>
      </c>
      <c r="H215" s="4">
        <v>45782</v>
      </c>
      <c r="I215" t="s">
        <v>1965</v>
      </c>
    </row>
    <row r="216" spans="1:9" x14ac:dyDescent="0.25">
      <c r="A216" t="s">
        <v>1417</v>
      </c>
      <c r="B216" t="s">
        <v>1393</v>
      </c>
      <c r="C216" s="3">
        <v>673</v>
      </c>
      <c r="D216" t="s">
        <v>3</v>
      </c>
      <c r="E216">
        <v>536955</v>
      </c>
      <c r="F216" t="s">
        <v>1562</v>
      </c>
      <c r="G216" t="s">
        <v>1586</v>
      </c>
      <c r="H216" s="4">
        <v>45782</v>
      </c>
      <c r="I216" t="s">
        <v>1965</v>
      </c>
    </row>
    <row r="217" spans="1:9" x14ac:dyDescent="0.25">
      <c r="A217" t="s">
        <v>1416</v>
      </c>
      <c r="B217" t="s">
        <v>1393</v>
      </c>
      <c r="C217" s="3">
        <v>40</v>
      </c>
      <c r="D217" t="s">
        <v>3</v>
      </c>
      <c r="E217">
        <v>536956</v>
      </c>
      <c r="F217" t="s">
        <v>1562</v>
      </c>
      <c r="G217" t="s">
        <v>1586</v>
      </c>
      <c r="H217" s="4">
        <v>45782</v>
      </c>
      <c r="I217" t="s">
        <v>1965</v>
      </c>
    </row>
    <row r="218" spans="1:9" x14ac:dyDescent="0.25">
      <c r="A218" t="s">
        <v>1415</v>
      </c>
      <c r="B218" t="s">
        <v>1393</v>
      </c>
      <c r="C218" s="3">
        <v>100</v>
      </c>
      <c r="D218" t="s">
        <v>3</v>
      </c>
      <c r="E218">
        <v>536957</v>
      </c>
      <c r="F218" t="s">
        <v>1562</v>
      </c>
      <c r="G218" t="s">
        <v>1586</v>
      </c>
      <c r="H218" s="4">
        <v>45782</v>
      </c>
      <c r="I218" t="s">
        <v>1965</v>
      </c>
    </row>
    <row r="219" spans="1:9" x14ac:dyDescent="0.25">
      <c r="A219" t="s">
        <v>1414</v>
      </c>
      <c r="B219" t="s">
        <v>1393</v>
      </c>
      <c r="C219" s="3">
        <v>50</v>
      </c>
      <c r="D219" t="s">
        <v>3</v>
      </c>
      <c r="E219">
        <v>536958</v>
      </c>
      <c r="F219" t="s">
        <v>1562</v>
      </c>
      <c r="G219" t="s">
        <v>1586</v>
      </c>
      <c r="H219" s="4">
        <v>45782</v>
      </c>
      <c r="I219" t="s">
        <v>1965</v>
      </c>
    </row>
    <row r="220" spans="1:9" x14ac:dyDescent="0.25">
      <c r="A220" t="s">
        <v>14</v>
      </c>
      <c r="B220" t="s">
        <v>1393</v>
      </c>
      <c r="C220" s="3">
        <v>40</v>
      </c>
      <c r="D220" t="s">
        <v>3</v>
      </c>
      <c r="E220">
        <v>536959</v>
      </c>
      <c r="F220" t="s">
        <v>1562</v>
      </c>
      <c r="G220" t="s">
        <v>1586</v>
      </c>
      <c r="H220" s="4">
        <v>45782</v>
      </c>
      <c r="I220" t="s">
        <v>1965</v>
      </c>
    </row>
    <row r="221" spans="1:9" x14ac:dyDescent="0.25">
      <c r="A221" t="s">
        <v>1413</v>
      </c>
      <c r="B221" t="s">
        <v>1393</v>
      </c>
      <c r="C221" s="3">
        <v>10</v>
      </c>
      <c r="D221" t="s">
        <v>3</v>
      </c>
      <c r="E221">
        <v>536960</v>
      </c>
      <c r="F221" t="s">
        <v>1562</v>
      </c>
      <c r="G221" t="s">
        <v>1586</v>
      </c>
      <c r="H221" s="4">
        <v>45782</v>
      </c>
      <c r="I221" t="s">
        <v>1965</v>
      </c>
    </row>
    <row r="222" spans="1:9" x14ac:dyDescent="0.25">
      <c r="A222" t="s">
        <v>1412</v>
      </c>
      <c r="B222" t="s">
        <v>1393</v>
      </c>
      <c r="C222" s="3">
        <v>20</v>
      </c>
      <c r="D222" t="s">
        <v>3</v>
      </c>
      <c r="E222">
        <v>536961</v>
      </c>
      <c r="F222" t="s">
        <v>1562</v>
      </c>
      <c r="G222" t="s">
        <v>1586</v>
      </c>
      <c r="H222" s="4">
        <v>45782</v>
      </c>
      <c r="I222" t="s">
        <v>1965</v>
      </c>
    </row>
    <row r="223" spans="1:9" x14ac:dyDescent="0.25">
      <c r="A223" t="s">
        <v>1411</v>
      </c>
      <c r="B223" t="s">
        <v>1393</v>
      </c>
      <c r="C223" s="3">
        <v>25</v>
      </c>
      <c r="D223" t="s">
        <v>3</v>
      </c>
      <c r="E223">
        <v>536962</v>
      </c>
      <c r="F223" t="s">
        <v>1562</v>
      </c>
      <c r="G223" t="s">
        <v>1586</v>
      </c>
      <c r="H223" s="4">
        <v>45782</v>
      </c>
      <c r="I223" t="s">
        <v>1965</v>
      </c>
    </row>
    <row r="224" spans="1:9" x14ac:dyDescent="0.25">
      <c r="A224" t="s">
        <v>1410</v>
      </c>
      <c r="B224" t="s">
        <v>1393</v>
      </c>
      <c r="C224" s="3">
        <v>40</v>
      </c>
      <c r="D224" t="s">
        <v>3</v>
      </c>
      <c r="E224">
        <v>536963</v>
      </c>
      <c r="F224" t="s">
        <v>1562</v>
      </c>
      <c r="G224" t="s">
        <v>1586</v>
      </c>
      <c r="H224" s="4">
        <v>45782</v>
      </c>
      <c r="I224" t="s">
        <v>1965</v>
      </c>
    </row>
    <row r="225" spans="1:9" x14ac:dyDescent="0.25">
      <c r="A225" t="s">
        <v>1409</v>
      </c>
      <c r="B225" t="s">
        <v>1393</v>
      </c>
      <c r="C225" s="3">
        <v>50</v>
      </c>
      <c r="D225" t="s">
        <v>3</v>
      </c>
      <c r="E225">
        <v>536964</v>
      </c>
      <c r="F225" t="s">
        <v>1562</v>
      </c>
      <c r="G225" t="s">
        <v>1586</v>
      </c>
      <c r="H225" s="4">
        <v>45782</v>
      </c>
      <c r="I225" t="s">
        <v>1965</v>
      </c>
    </row>
    <row r="226" spans="1:9" x14ac:dyDescent="0.25">
      <c r="A226" t="s">
        <v>1408</v>
      </c>
      <c r="B226" t="s">
        <v>1393</v>
      </c>
      <c r="C226" s="3">
        <v>20</v>
      </c>
      <c r="D226" t="s">
        <v>3</v>
      </c>
      <c r="E226">
        <v>536965</v>
      </c>
      <c r="F226" t="s">
        <v>1562</v>
      </c>
      <c r="G226" t="s">
        <v>1586</v>
      </c>
      <c r="H226" s="4">
        <v>45782</v>
      </c>
      <c r="I226" t="s">
        <v>1965</v>
      </c>
    </row>
    <row r="227" spans="1:9" x14ac:dyDescent="0.25">
      <c r="A227" t="s">
        <v>1407</v>
      </c>
      <c r="B227" t="s">
        <v>1393</v>
      </c>
      <c r="C227" s="3">
        <v>10</v>
      </c>
      <c r="D227" t="s">
        <v>3</v>
      </c>
      <c r="E227">
        <v>536966</v>
      </c>
      <c r="F227" t="s">
        <v>1562</v>
      </c>
      <c r="G227" t="s">
        <v>1586</v>
      </c>
      <c r="H227" s="4">
        <v>45782</v>
      </c>
      <c r="I227" t="s">
        <v>1965</v>
      </c>
    </row>
    <row r="228" spans="1:9" x14ac:dyDescent="0.25">
      <c r="A228" t="s">
        <v>223</v>
      </c>
      <c r="B228" t="s">
        <v>1393</v>
      </c>
      <c r="C228" s="3">
        <v>100</v>
      </c>
      <c r="D228" t="s">
        <v>3</v>
      </c>
      <c r="E228">
        <v>536967</v>
      </c>
      <c r="F228" t="s">
        <v>1562</v>
      </c>
      <c r="G228" t="s">
        <v>1586</v>
      </c>
      <c r="H228" s="4">
        <v>45782</v>
      </c>
      <c r="I228" t="s">
        <v>1965</v>
      </c>
    </row>
    <row r="229" spans="1:9" x14ac:dyDescent="0.25">
      <c r="A229" t="s">
        <v>1406</v>
      </c>
      <c r="B229" t="s">
        <v>1393</v>
      </c>
      <c r="C229" s="3">
        <v>20</v>
      </c>
      <c r="D229" t="s">
        <v>3</v>
      </c>
      <c r="E229">
        <v>536968</v>
      </c>
      <c r="F229" t="s">
        <v>1562</v>
      </c>
      <c r="G229" t="s">
        <v>1586</v>
      </c>
      <c r="H229" s="4">
        <v>45782</v>
      </c>
      <c r="I229" t="s">
        <v>1965</v>
      </c>
    </row>
    <row r="230" spans="1:9" x14ac:dyDescent="0.25">
      <c r="A230" t="s">
        <v>1243</v>
      </c>
      <c r="B230" t="s">
        <v>1393</v>
      </c>
      <c r="C230" s="3">
        <v>20</v>
      </c>
      <c r="D230" t="s">
        <v>3</v>
      </c>
      <c r="E230">
        <v>536969</v>
      </c>
      <c r="F230" t="s">
        <v>1562</v>
      </c>
      <c r="G230" t="s">
        <v>1586</v>
      </c>
      <c r="H230" s="4">
        <v>45782</v>
      </c>
      <c r="I230" t="s">
        <v>1965</v>
      </c>
    </row>
    <row r="231" spans="1:9" x14ac:dyDescent="0.25">
      <c r="A231" t="s">
        <v>1405</v>
      </c>
      <c r="B231" t="s">
        <v>1393</v>
      </c>
      <c r="C231" s="3">
        <v>100</v>
      </c>
      <c r="D231" t="s">
        <v>3</v>
      </c>
      <c r="E231">
        <v>536970</v>
      </c>
      <c r="F231" t="s">
        <v>1562</v>
      </c>
      <c r="G231" t="s">
        <v>1586</v>
      </c>
      <c r="H231" s="4">
        <v>45782</v>
      </c>
      <c r="I231" t="s">
        <v>1965</v>
      </c>
    </row>
    <row r="232" spans="1:9" x14ac:dyDescent="0.25">
      <c r="A232" t="s">
        <v>1404</v>
      </c>
      <c r="B232" t="s">
        <v>1393</v>
      </c>
      <c r="C232" s="3">
        <v>30</v>
      </c>
      <c r="D232" t="s">
        <v>3</v>
      </c>
      <c r="E232">
        <v>536971</v>
      </c>
      <c r="F232" t="s">
        <v>1562</v>
      </c>
      <c r="G232" t="s">
        <v>1586</v>
      </c>
      <c r="H232" s="4">
        <v>45782</v>
      </c>
      <c r="I232" t="s">
        <v>1965</v>
      </c>
    </row>
    <row r="233" spans="1:9" x14ac:dyDescent="0.25">
      <c r="A233" t="s">
        <v>11</v>
      </c>
      <c r="B233" t="s">
        <v>1393</v>
      </c>
      <c r="C233" s="3">
        <v>50</v>
      </c>
      <c r="D233" t="s">
        <v>3</v>
      </c>
      <c r="E233">
        <v>536972</v>
      </c>
      <c r="F233" t="s">
        <v>1562</v>
      </c>
      <c r="G233" t="s">
        <v>1586</v>
      </c>
      <c r="H233" s="4">
        <v>45782</v>
      </c>
      <c r="I233" t="s">
        <v>1965</v>
      </c>
    </row>
    <row r="234" spans="1:9" x14ac:dyDescent="0.25">
      <c r="A234" t="s">
        <v>57</v>
      </c>
      <c r="B234" t="s">
        <v>1393</v>
      </c>
      <c r="C234" s="3">
        <v>20</v>
      </c>
      <c r="D234" t="s">
        <v>3</v>
      </c>
      <c r="E234">
        <v>536973</v>
      </c>
      <c r="F234" t="s">
        <v>1562</v>
      </c>
      <c r="G234" t="s">
        <v>1586</v>
      </c>
      <c r="H234" s="4">
        <v>45782</v>
      </c>
      <c r="I234" t="s">
        <v>1965</v>
      </c>
    </row>
    <row r="235" spans="1:9" x14ac:dyDescent="0.25">
      <c r="A235" t="s">
        <v>1403</v>
      </c>
      <c r="B235" t="s">
        <v>1393</v>
      </c>
      <c r="C235" s="3">
        <v>67</v>
      </c>
      <c r="D235" t="s">
        <v>3</v>
      </c>
      <c r="E235">
        <v>536974</v>
      </c>
      <c r="F235" t="s">
        <v>1562</v>
      </c>
      <c r="G235" t="s">
        <v>1586</v>
      </c>
      <c r="H235" s="4">
        <v>45782</v>
      </c>
      <c r="I235" t="s">
        <v>1965</v>
      </c>
    </row>
    <row r="236" spans="1:9" x14ac:dyDescent="0.25">
      <c r="A236" t="s">
        <v>1402</v>
      </c>
      <c r="B236" t="s">
        <v>1393</v>
      </c>
      <c r="C236" s="3">
        <v>100</v>
      </c>
      <c r="D236" t="s">
        <v>3</v>
      </c>
      <c r="E236">
        <v>536975</v>
      </c>
      <c r="F236" t="s">
        <v>1562</v>
      </c>
      <c r="G236" t="s">
        <v>1586</v>
      </c>
      <c r="H236" s="4">
        <v>45782</v>
      </c>
      <c r="I236" t="s">
        <v>1965</v>
      </c>
    </row>
    <row r="237" spans="1:9" x14ac:dyDescent="0.25">
      <c r="A237" t="s">
        <v>1401</v>
      </c>
      <c r="B237" t="s">
        <v>1393</v>
      </c>
      <c r="C237" s="3">
        <v>20</v>
      </c>
      <c r="D237" t="s">
        <v>3</v>
      </c>
      <c r="E237">
        <v>536976</v>
      </c>
      <c r="F237" t="s">
        <v>1562</v>
      </c>
      <c r="G237" t="s">
        <v>1586</v>
      </c>
      <c r="H237" s="4">
        <v>45782</v>
      </c>
      <c r="I237" t="s">
        <v>1965</v>
      </c>
    </row>
    <row r="238" spans="1:9" x14ac:dyDescent="0.25">
      <c r="A238" t="s">
        <v>1400</v>
      </c>
      <c r="B238" t="s">
        <v>1393</v>
      </c>
      <c r="C238" s="3">
        <v>100</v>
      </c>
      <c r="D238" t="s">
        <v>3</v>
      </c>
      <c r="E238">
        <v>536977</v>
      </c>
      <c r="F238" t="s">
        <v>1562</v>
      </c>
      <c r="G238" t="s">
        <v>1586</v>
      </c>
      <c r="H238" s="4">
        <v>45782</v>
      </c>
      <c r="I238" t="s">
        <v>1965</v>
      </c>
    </row>
    <row r="239" spans="1:9" x14ac:dyDescent="0.25">
      <c r="A239" t="s">
        <v>1399</v>
      </c>
      <c r="B239" t="s">
        <v>1393</v>
      </c>
      <c r="C239" s="3">
        <v>25</v>
      </c>
      <c r="D239" t="s">
        <v>3</v>
      </c>
      <c r="E239">
        <v>536978</v>
      </c>
      <c r="F239" t="s">
        <v>1562</v>
      </c>
      <c r="G239" t="s">
        <v>1586</v>
      </c>
      <c r="H239" s="4">
        <v>45782</v>
      </c>
      <c r="I239" t="s">
        <v>1965</v>
      </c>
    </row>
    <row r="240" spans="1:9" x14ac:dyDescent="0.25">
      <c r="A240" t="s">
        <v>1398</v>
      </c>
      <c r="B240" t="s">
        <v>1393</v>
      </c>
      <c r="C240" s="3">
        <v>15</v>
      </c>
      <c r="D240" t="s">
        <v>3</v>
      </c>
      <c r="E240">
        <v>536979</v>
      </c>
      <c r="F240" t="s">
        <v>1562</v>
      </c>
      <c r="G240" t="s">
        <v>1586</v>
      </c>
      <c r="H240" s="4">
        <v>45782</v>
      </c>
      <c r="I240" t="s">
        <v>1965</v>
      </c>
    </row>
    <row r="241" spans="1:9" x14ac:dyDescent="0.25">
      <c r="A241" t="s">
        <v>1397</v>
      </c>
      <c r="B241" t="s">
        <v>1393</v>
      </c>
      <c r="C241" s="3">
        <v>25</v>
      </c>
      <c r="D241" t="s">
        <v>3</v>
      </c>
      <c r="E241">
        <v>536980</v>
      </c>
      <c r="F241" t="s">
        <v>1562</v>
      </c>
      <c r="G241" t="s">
        <v>1586</v>
      </c>
      <c r="H241" s="4">
        <v>45782</v>
      </c>
      <c r="I241" t="s">
        <v>1965</v>
      </c>
    </row>
    <row r="242" spans="1:9" x14ac:dyDescent="0.25">
      <c r="A242" t="s">
        <v>14</v>
      </c>
      <c r="B242" t="s">
        <v>1393</v>
      </c>
      <c r="C242" s="3">
        <v>10</v>
      </c>
      <c r="D242" t="s">
        <v>3</v>
      </c>
      <c r="E242">
        <v>536981</v>
      </c>
      <c r="F242" t="s">
        <v>1562</v>
      </c>
      <c r="G242" t="s">
        <v>1586</v>
      </c>
      <c r="H242" s="4">
        <v>45782</v>
      </c>
      <c r="I242" t="s">
        <v>1965</v>
      </c>
    </row>
    <row r="243" spans="1:9" x14ac:dyDescent="0.25">
      <c r="A243" t="s">
        <v>1396</v>
      </c>
      <c r="B243" t="s">
        <v>1393</v>
      </c>
      <c r="C243" s="3">
        <v>36</v>
      </c>
      <c r="D243" t="s">
        <v>3</v>
      </c>
      <c r="E243">
        <v>536982</v>
      </c>
      <c r="F243" t="s">
        <v>1562</v>
      </c>
      <c r="G243" t="s">
        <v>1586</v>
      </c>
      <c r="H243" s="4">
        <v>45782</v>
      </c>
      <c r="I243" t="s">
        <v>1965</v>
      </c>
    </row>
    <row r="244" spans="1:9" x14ac:dyDescent="0.25">
      <c r="A244" t="s">
        <v>1395</v>
      </c>
      <c r="B244" t="s">
        <v>1393</v>
      </c>
      <c r="C244" s="3">
        <v>12.55</v>
      </c>
      <c r="D244" t="s">
        <v>3</v>
      </c>
      <c r="E244">
        <v>536983</v>
      </c>
      <c r="F244" t="s">
        <v>1562</v>
      </c>
      <c r="G244" t="s">
        <v>1586</v>
      </c>
      <c r="H244" s="4">
        <v>45782</v>
      </c>
      <c r="I244" t="s">
        <v>1965</v>
      </c>
    </row>
    <row r="245" spans="1:9" x14ac:dyDescent="0.25">
      <c r="A245" t="s">
        <v>1394</v>
      </c>
      <c r="B245" t="s">
        <v>1393</v>
      </c>
      <c r="C245" s="3">
        <v>5</v>
      </c>
      <c r="D245" t="s">
        <v>3</v>
      </c>
      <c r="E245">
        <v>536984</v>
      </c>
      <c r="F245" t="s">
        <v>1562</v>
      </c>
      <c r="G245" t="s">
        <v>1587</v>
      </c>
      <c r="H245" s="4">
        <v>45782</v>
      </c>
      <c r="I245" t="s">
        <v>1965</v>
      </c>
    </row>
    <row r="246" spans="1:9" x14ac:dyDescent="0.25">
      <c r="A246" t="s">
        <v>54</v>
      </c>
      <c r="B246" t="s">
        <v>1393</v>
      </c>
      <c r="C246" s="3">
        <v>20</v>
      </c>
      <c r="D246" t="s">
        <v>3</v>
      </c>
      <c r="E246">
        <v>536985</v>
      </c>
      <c r="F246" t="s">
        <v>1562</v>
      </c>
      <c r="G246" t="s">
        <v>1586</v>
      </c>
      <c r="H246" s="4">
        <v>45782</v>
      </c>
      <c r="I246" t="s">
        <v>1965</v>
      </c>
    </row>
    <row r="247" spans="1:9" x14ac:dyDescent="0.25">
      <c r="A247" t="s">
        <v>1334</v>
      </c>
      <c r="B247" t="s">
        <v>1330</v>
      </c>
      <c r="C247" s="3">
        <v>1000</v>
      </c>
      <c r="D247" t="s">
        <v>17</v>
      </c>
      <c r="E247">
        <v>538462</v>
      </c>
      <c r="F247" t="s">
        <v>1562</v>
      </c>
      <c r="G247" t="s">
        <v>1588</v>
      </c>
      <c r="H247" s="4">
        <v>45756</v>
      </c>
      <c r="I247" t="s">
        <v>1966</v>
      </c>
    </row>
    <row r="248" spans="1:9" x14ac:dyDescent="0.25">
      <c r="A248" t="s">
        <v>1344</v>
      </c>
      <c r="B248" t="s">
        <v>1330</v>
      </c>
      <c r="C248" s="3">
        <v>500</v>
      </c>
      <c r="D248" t="s">
        <v>17</v>
      </c>
      <c r="E248">
        <v>538463</v>
      </c>
      <c r="F248" t="s">
        <v>1562</v>
      </c>
      <c r="G248" t="s">
        <v>1588</v>
      </c>
      <c r="H248" s="4">
        <v>45757</v>
      </c>
      <c r="I248" t="s">
        <v>1966</v>
      </c>
    </row>
    <row r="249" spans="1:9" x14ac:dyDescent="0.25">
      <c r="A249" t="s">
        <v>184</v>
      </c>
      <c r="B249" t="s">
        <v>1330</v>
      </c>
      <c r="C249" s="3">
        <v>1500</v>
      </c>
      <c r="D249" t="s">
        <v>17</v>
      </c>
      <c r="E249">
        <v>538464</v>
      </c>
      <c r="F249" t="s">
        <v>1562</v>
      </c>
      <c r="G249" t="s">
        <v>1588</v>
      </c>
      <c r="H249" s="4">
        <v>45757</v>
      </c>
      <c r="I249" t="s">
        <v>1966</v>
      </c>
    </row>
    <row r="250" spans="1:9" x14ac:dyDescent="0.25">
      <c r="A250" t="s">
        <v>1329</v>
      </c>
      <c r="B250" t="s">
        <v>1330</v>
      </c>
      <c r="C250" s="3">
        <v>1000</v>
      </c>
      <c r="D250" t="s">
        <v>17</v>
      </c>
      <c r="E250">
        <v>538483</v>
      </c>
      <c r="F250" t="s">
        <v>1562</v>
      </c>
      <c r="H250" s="4">
        <v>45761</v>
      </c>
      <c r="I250" t="s">
        <v>1966</v>
      </c>
    </row>
    <row r="251" spans="1:9" x14ac:dyDescent="0.25">
      <c r="A251" t="s">
        <v>98</v>
      </c>
      <c r="B251" t="s">
        <v>1330</v>
      </c>
      <c r="C251" s="3">
        <v>500</v>
      </c>
      <c r="D251" t="s">
        <v>17</v>
      </c>
      <c r="E251">
        <v>538501</v>
      </c>
      <c r="F251" t="s">
        <v>1562</v>
      </c>
      <c r="H251" s="4">
        <v>45762</v>
      </c>
      <c r="I251" t="s">
        <v>1966</v>
      </c>
    </row>
    <row r="252" spans="1:9" x14ac:dyDescent="0.25">
      <c r="A252" t="s">
        <v>1368</v>
      </c>
      <c r="B252" t="s">
        <v>1330</v>
      </c>
      <c r="C252" s="3">
        <v>300</v>
      </c>
      <c r="D252" t="s">
        <v>17</v>
      </c>
      <c r="E252">
        <v>538632</v>
      </c>
      <c r="F252" t="s">
        <v>1562</v>
      </c>
      <c r="H252" s="4">
        <v>45770</v>
      </c>
      <c r="I252" t="s">
        <v>1966</v>
      </c>
    </row>
    <row r="253" spans="1:9" x14ac:dyDescent="0.25">
      <c r="A253" t="s">
        <v>1367</v>
      </c>
      <c r="B253" t="s">
        <v>1330</v>
      </c>
      <c r="C253" s="3">
        <v>100</v>
      </c>
      <c r="D253" t="s">
        <v>17</v>
      </c>
      <c r="E253">
        <v>538638</v>
      </c>
      <c r="F253" t="s">
        <v>1562</v>
      </c>
      <c r="H253" s="4">
        <v>45771</v>
      </c>
      <c r="I253" t="s">
        <v>1966</v>
      </c>
    </row>
    <row r="254" spans="1:9" x14ac:dyDescent="0.25">
      <c r="A254" t="s">
        <v>1366</v>
      </c>
      <c r="B254" t="s">
        <v>1330</v>
      </c>
      <c r="C254" s="3">
        <v>100</v>
      </c>
      <c r="D254" t="s">
        <v>17</v>
      </c>
      <c r="E254">
        <v>538645</v>
      </c>
      <c r="F254" t="s">
        <v>1562</v>
      </c>
      <c r="H254" s="4">
        <v>45772</v>
      </c>
      <c r="I254" t="s">
        <v>1966</v>
      </c>
    </row>
    <row r="255" spans="1:9" x14ac:dyDescent="0.25">
      <c r="A255" t="s">
        <v>1365</v>
      </c>
      <c r="B255" t="s">
        <v>1330</v>
      </c>
      <c r="C255" s="3">
        <v>100</v>
      </c>
      <c r="D255" t="s">
        <v>17</v>
      </c>
      <c r="E255">
        <v>538648</v>
      </c>
      <c r="F255" t="s">
        <v>1562</v>
      </c>
      <c r="H255" s="4">
        <v>45775</v>
      </c>
      <c r="I255" t="s">
        <v>1966</v>
      </c>
    </row>
    <row r="256" spans="1:9" x14ac:dyDescent="0.25">
      <c r="A256" t="s">
        <v>123</v>
      </c>
      <c r="B256" t="s">
        <v>1330</v>
      </c>
      <c r="C256" s="3">
        <v>100</v>
      </c>
      <c r="D256" t="s">
        <v>17</v>
      </c>
      <c r="E256">
        <v>538651</v>
      </c>
      <c r="F256" t="s">
        <v>1562</v>
      </c>
      <c r="H256" s="4">
        <v>45776</v>
      </c>
      <c r="I256" t="s">
        <v>1966</v>
      </c>
    </row>
    <row r="257" spans="1:9" x14ac:dyDescent="0.25">
      <c r="A257" t="s">
        <v>1364</v>
      </c>
      <c r="B257" t="s">
        <v>1330</v>
      </c>
      <c r="C257" s="3">
        <v>100</v>
      </c>
      <c r="D257" t="s">
        <v>17</v>
      </c>
      <c r="E257">
        <v>538655</v>
      </c>
      <c r="F257" t="s">
        <v>1562</v>
      </c>
      <c r="H257" s="4">
        <v>45777</v>
      </c>
      <c r="I257" t="s">
        <v>1966</v>
      </c>
    </row>
    <row r="258" spans="1:9" x14ac:dyDescent="0.25">
      <c r="A258" t="s">
        <v>1110</v>
      </c>
      <c r="B258" t="s">
        <v>1330</v>
      </c>
      <c r="C258" s="3">
        <v>100</v>
      </c>
      <c r="D258" t="s">
        <v>17</v>
      </c>
      <c r="E258">
        <v>538656</v>
      </c>
      <c r="F258" t="s">
        <v>1562</v>
      </c>
      <c r="H258" s="4">
        <v>45777</v>
      </c>
      <c r="I258" t="s">
        <v>1966</v>
      </c>
    </row>
    <row r="259" spans="1:9" x14ac:dyDescent="0.25">
      <c r="A259" t="s">
        <v>1363</v>
      </c>
      <c r="B259" t="s">
        <v>1330</v>
      </c>
      <c r="C259" s="3">
        <v>1000</v>
      </c>
      <c r="D259" t="s">
        <v>17</v>
      </c>
      <c r="E259">
        <v>539008</v>
      </c>
      <c r="F259" t="s">
        <v>1562</v>
      </c>
      <c r="H259" s="4">
        <v>45779</v>
      </c>
      <c r="I259" t="s">
        <v>1966</v>
      </c>
    </row>
    <row r="260" spans="1:9" x14ac:dyDescent="0.25">
      <c r="A260" t="s">
        <v>1362</v>
      </c>
      <c r="B260" t="s">
        <v>1330</v>
      </c>
      <c r="C260" s="3">
        <v>100</v>
      </c>
      <c r="D260" t="s">
        <v>17</v>
      </c>
      <c r="E260">
        <v>539009</v>
      </c>
      <c r="F260" t="s">
        <v>1562</v>
      </c>
      <c r="H260" s="4">
        <v>45779</v>
      </c>
      <c r="I260" t="s">
        <v>1966</v>
      </c>
    </row>
    <row r="261" spans="1:9" x14ac:dyDescent="0.25">
      <c r="A261" t="s">
        <v>1370</v>
      </c>
      <c r="B261" t="s">
        <v>1330</v>
      </c>
      <c r="C261" s="3">
        <v>100</v>
      </c>
      <c r="D261" t="s">
        <v>17</v>
      </c>
      <c r="E261">
        <v>539014</v>
      </c>
      <c r="F261" t="s">
        <v>1562</v>
      </c>
      <c r="H261" s="4">
        <v>45783</v>
      </c>
      <c r="I261" t="s">
        <v>1966</v>
      </c>
    </row>
    <row r="262" spans="1:9" x14ac:dyDescent="0.25">
      <c r="A262" t="s">
        <v>1361</v>
      </c>
      <c r="B262" t="s">
        <v>1330</v>
      </c>
      <c r="C262" s="3">
        <v>100</v>
      </c>
      <c r="D262" t="s">
        <v>17</v>
      </c>
      <c r="E262">
        <v>539052</v>
      </c>
      <c r="F262" t="s">
        <v>1562</v>
      </c>
      <c r="H262" s="4">
        <v>45784</v>
      </c>
      <c r="I262" t="s">
        <v>1966</v>
      </c>
    </row>
    <row r="263" spans="1:9" x14ac:dyDescent="0.25">
      <c r="A263" t="s">
        <v>27</v>
      </c>
      <c r="B263" t="s">
        <v>1330</v>
      </c>
      <c r="C263" s="3">
        <v>100</v>
      </c>
      <c r="D263" t="s">
        <v>17</v>
      </c>
      <c r="E263">
        <v>539047</v>
      </c>
      <c r="F263" t="s">
        <v>1562</v>
      </c>
      <c r="H263" s="4">
        <v>45784</v>
      </c>
      <c r="I263" t="s">
        <v>1966</v>
      </c>
    </row>
    <row r="264" spans="1:9" x14ac:dyDescent="0.25">
      <c r="A264" t="s">
        <v>1336</v>
      </c>
      <c r="B264" t="s">
        <v>1330</v>
      </c>
      <c r="C264" s="3">
        <v>600</v>
      </c>
      <c r="D264" t="s">
        <v>17</v>
      </c>
      <c r="E264">
        <v>539048</v>
      </c>
      <c r="F264" t="s">
        <v>1562</v>
      </c>
      <c r="H264" s="4">
        <v>45784</v>
      </c>
      <c r="I264" t="s">
        <v>1966</v>
      </c>
    </row>
    <row r="265" spans="1:9" x14ac:dyDescent="0.25">
      <c r="A265" t="s">
        <v>1378</v>
      </c>
      <c r="B265" t="s">
        <v>1330</v>
      </c>
      <c r="C265" s="3">
        <v>50</v>
      </c>
      <c r="D265" t="s">
        <v>17</v>
      </c>
      <c r="E265">
        <v>539144</v>
      </c>
      <c r="F265" t="s">
        <v>1562</v>
      </c>
      <c r="G265" t="s">
        <v>1287</v>
      </c>
      <c r="H265" s="4">
        <v>45791</v>
      </c>
      <c r="I265" t="s">
        <v>1966</v>
      </c>
    </row>
    <row r="266" spans="1:9" x14ac:dyDescent="0.25">
      <c r="A266" t="s">
        <v>1373</v>
      </c>
      <c r="B266" t="s">
        <v>1330</v>
      </c>
      <c r="C266" s="3">
        <v>50</v>
      </c>
      <c r="D266" t="s">
        <v>17</v>
      </c>
      <c r="E266">
        <v>539135</v>
      </c>
      <c r="F266" t="s">
        <v>1562</v>
      </c>
      <c r="G266" t="s">
        <v>1287</v>
      </c>
      <c r="H266" s="4">
        <v>45791</v>
      </c>
      <c r="I266" t="s">
        <v>1966</v>
      </c>
    </row>
    <row r="267" spans="1:9" x14ac:dyDescent="0.25">
      <c r="A267" t="s">
        <v>1372</v>
      </c>
      <c r="B267" t="s">
        <v>1330</v>
      </c>
      <c r="C267" s="3">
        <v>100</v>
      </c>
      <c r="D267" t="s">
        <v>17</v>
      </c>
      <c r="E267">
        <v>539136</v>
      </c>
      <c r="F267" t="s">
        <v>1562</v>
      </c>
      <c r="G267" t="s">
        <v>1287</v>
      </c>
      <c r="H267" s="4">
        <v>45791</v>
      </c>
      <c r="I267" t="s">
        <v>1966</v>
      </c>
    </row>
    <row r="268" spans="1:9" x14ac:dyDescent="0.25">
      <c r="A268" t="s">
        <v>1371</v>
      </c>
      <c r="B268" t="s">
        <v>1330</v>
      </c>
      <c r="C268" s="3">
        <v>20</v>
      </c>
      <c r="D268" t="s">
        <v>17</v>
      </c>
      <c r="E268">
        <v>539137</v>
      </c>
      <c r="F268" t="s">
        <v>1562</v>
      </c>
      <c r="G268" t="s">
        <v>1287</v>
      </c>
      <c r="H268" s="4">
        <v>45791</v>
      </c>
      <c r="I268" t="s">
        <v>1966</v>
      </c>
    </row>
    <row r="269" spans="1:9" x14ac:dyDescent="0.25">
      <c r="A269" t="s">
        <v>1377</v>
      </c>
      <c r="B269" t="s">
        <v>1330</v>
      </c>
      <c r="C269" s="3">
        <v>25</v>
      </c>
      <c r="D269" t="s">
        <v>17</v>
      </c>
      <c r="E269">
        <v>539126</v>
      </c>
      <c r="F269" t="s">
        <v>1562</v>
      </c>
      <c r="G269" t="s">
        <v>1589</v>
      </c>
      <c r="H269" s="4">
        <v>45791</v>
      </c>
      <c r="I269" t="s">
        <v>1966</v>
      </c>
    </row>
    <row r="270" spans="1:9" x14ac:dyDescent="0.25">
      <c r="A270" t="s">
        <v>1245</v>
      </c>
      <c r="B270" t="s">
        <v>1330</v>
      </c>
      <c r="C270" s="3">
        <v>10</v>
      </c>
      <c r="D270" t="s">
        <v>17</v>
      </c>
      <c r="E270">
        <v>539127</v>
      </c>
      <c r="F270" t="s">
        <v>1562</v>
      </c>
      <c r="G270" t="s">
        <v>1590</v>
      </c>
      <c r="H270" s="4">
        <v>45791</v>
      </c>
      <c r="I270" t="s">
        <v>1966</v>
      </c>
    </row>
    <row r="271" spans="1:9" x14ac:dyDescent="0.25">
      <c r="A271" t="s">
        <v>942</v>
      </c>
      <c r="B271" t="s">
        <v>1330</v>
      </c>
      <c r="C271" s="3">
        <v>20</v>
      </c>
      <c r="D271" t="s">
        <v>17</v>
      </c>
      <c r="E271">
        <v>539128</v>
      </c>
      <c r="F271" t="s">
        <v>1562</v>
      </c>
      <c r="G271" t="s">
        <v>1287</v>
      </c>
      <c r="H271" s="4">
        <v>45791</v>
      </c>
      <c r="I271" t="s">
        <v>1966</v>
      </c>
    </row>
    <row r="272" spans="1:9" x14ac:dyDescent="0.25">
      <c r="A272" t="s">
        <v>1376</v>
      </c>
      <c r="B272" t="s">
        <v>1330</v>
      </c>
      <c r="C272" s="3">
        <v>25</v>
      </c>
      <c r="D272" t="s">
        <v>17</v>
      </c>
      <c r="E272">
        <v>539129</v>
      </c>
      <c r="F272" t="s">
        <v>1562</v>
      </c>
      <c r="G272" t="s">
        <v>1287</v>
      </c>
      <c r="H272" s="4">
        <v>45791</v>
      </c>
      <c r="I272" t="s">
        <v>1966</v>
      </c>
    </row>
    <row r="273" spans="1:9" x14ac:dyDescent="0.25">
      <c r="A273" t="s">
        <v>1375</v>
      </c>
      <c r="B273" t="s">
        <v>1330</v>
      </c>
      <c r="C273" s="3">
        <v>25</v>
      </c>
      <c r="D273" t="s">
        <v>17</v>
      </c>
      <c r="E273">
        <v>539130</v>
      </c>
      <c r="F273" t="s">
        <v>1562</v>
      </c>
      <c r="G273" t="s">
        <v>1287</v>
      </c>
      <c r="H273" s="4">
        <v>45791</v>
      </c>
      <c r="I273" t="s">
        <v>1966</v>
      </c>
    </row>
    <row r="274" spans="1:9" x14ac:dyDescent="0.25">
      <c r="A274" t="s">
        <v>616</v>
      </c>
      <c r="B274" t="s">
        <v>1330</v>
      </c>
      <c r="C274" s="3">
        <v>75</v>
      </c>
      <c r="D274" t="s">
        <v>17</v>
      </c>
      <c r="E274">
        <v>539131</v>
      </c>
      <c r="F274" t="s">
        <v>1562</v>
      </c>
      <c r="G274" t="s">
        <v>1591</v>
      </c>
      <c r="H274" s="4">
        <v>45791</v>
      </c>
      <c r="I274" t="s">
        <v>1966</v>
      </c>
    </row>
    <row r="275" spans="1:9" x14ac:dyDescent="0.25">
      <c r="A275" t="s">
        <v>1374</v>
      </c>
      <c r="B275" t="s">
        <v>1330</v>
      </c>
      <c r="C275" s="3">
        <v>25</v>
      </c>
      <c r="D275" t="s">
        <v>17</v>
      </c>
      <c r="E275">
        <v>539132</v>
      </c>
      <c r="F275" t="s">
        <v>1562</v>
      </c>
      <c r="G275" t="s">
        <v>1287</v>
      </c>
      <c r="H275" s="4">
        <v>45791</v>
      </c>
      <c r="I275" t="s">
        <v>1966</v>
      </c>
    </row>
    <row r="276" spans="1:9" x14ac:dyDescent="0.25">
      <c r="A276" t="s">
        <v>1369</v>
      </c>
      <c r="B276" t="s">
        <v>1330</v>
      </c>
      <c r="C276" s="3">
        <v>600</v>
      </c>
      <c r="D276" t="s">
        <v>17</v>
      </c>
      <c r="E276">
        <v>539153</v>
      </c>
      <c r="F276" t="s">
        <v>1562</v>
      </c>
      <c r="H276" s="4">
        <v>45791</v>
      </c>
      <c r="I276" t="s">
        <v>1966</v>
      </c>
    </row>
    <row r="277" spans="1:9" x14ac:dyDescent="0.25">
      <c r="A277" t="s">
        <v>1352</v>
      </c>
      <c r="B277" t="s">
        <v>1330</v>
      </c>
      <c r="C277" s="3">
        <v>70</v>
      </c>
      <c r="D277" t="s">
        <v>53</v>
      </c>
      <c r="E277">
        <v>539150</v>
      </c>
      <c r="F277" t="s">
        <v>1562</v>
      </c>
      <c r="G277" t="s">
        <v>1590</v>
      </c>
      <c r="H277" s="4">
        <v>45791</v>
      </c>
      <c r="I277" t="s">
        <v>1966</v>
      </c>
    </row>
    <row r="278" spans="1:9" x14ac:dyDescent="0.25">
      <c r="A278" t="s">
        <v>1379</v>
      </c>
      <c r="B278" t="s">
        <v>1330</v>
      </c>
      <c r="C278" s="3">
        <v>30</v>
      </c>
      <c r="D278" t="s">
        <v>17</v>
      </c>
      <c r="E278">
        <v>539190</v>
      </c>
      <c r="F278" t="s">
        <v>1562</v>
      </c>
      <c r="G278" t="s">
        <v>1287</v>
      </c>
      <c r="H278" s="4">
        <v>45791</v>
      </c>
      <c r="I278" t="s">
        <v>1966</v>
      </c>
    </row>
    <row r="279" spans="1:9" x14ac:dyDescent="0.25">
      <c r="A279" t="s">
        <v>1382</v>
      </c>
      <c r="B279" t="s">
        <v>1330</v>
      </c>
      <c r="C279" s="3">
        <v>50</v>
      </c>
      <c r="D279" t="s">
        <v>17</v>
      </c>
      <c r="E279">
        <v>539206</v>
      </c>
      <c r="F279" t="s">
        <v>1562</v>
      </c>
      <c r="G279" t="s">
        <v>1590</v>
      </c>
      <c r="H279" s="4">
        <v>45792</v>
      </c>
      <c r="I279" t="s">
        <v>1966</v>
      </c>
    </row>
    <row r="280" spans="1:9" x14ac:dyDescent="0.25">
      <c r="A280" t="s">
        <v>1381</v>
      </c>
      <c r="B280" t="s">
        <v>1330</v>
      </c>
      <c r="C280" s="3">
        <v>100</v>
      </c>
      <c r="D280" t="s">
        <v>17</v>
      </c>
      <c r="E280">
        <v>539214</v>
      </c>
      <c r="F280" t="s">
        <v>1562</v>
      </c>
      <c r="G280" t="s">
        <v>1592</v>
      </c>
      <c r="H280" s="4">
        <v>45793</v>
      </c>
      <c r="I280" t="s">
        <v>1966</v>
      </c>
    </row>
    <row r="281" spans="1:9" x14ac:dyDescent="0.25">
      <c r="A281" t="s">
        <v>1384</v>
      </c>
      <c r="B281" t="s">
        <v>1330</v>
      </c>
      <c r="C281" s="3">
        <v>100</v>
      </c>
      <c r="D281" t="s">
        <v>53</v>
      </c>
      <c r="E281">
        <v>539219</v>
      </c>
      <c r="F281" t="s">
        <v>1562</v>
      </c>
      <c r="G281" t="s">
        <v>1592</v>
      </c>
      <c r="H281" s="4">
        <v>45793</v>
      </c>
      <c r="I281" t="s">
        <v>1966</v>
      </c>
    </row>
    <row r="282" spans="1:9" x14ac:dyDescent="0.25">
      <c r="A282" t="s">
        <v>1380</v>
      </c>
      <c r="B282" t="s">
        <v>1330</v>
      </c>
      <c r="C282" s="3">
        <v>50</v>
      </c>
      <c r="D282" t="s">
        <v>17</v>
      </c>
      <c r="E282">
        <v>539221</v>
      </c>
      <c r="F282" t="s">
        <v>1562</v>
      </c>
      <c r="G282" t="s">
        <v>1593</v>
      </c>
      <c r="H282" s="4">
        <v>45793</v>
      </c>
      <c r="I282" t="s">
        <v>1966</v>
      </c>
    </row>
    <row r="283" spans="1:9" x14ac:dyDescent="0.25">
      <c r="A283" t="s">
        <v>1992</v>
      </c>
      <c r="B283" t="s">
        <v>1330</v>
      </c>
      <c r="C283" s="3">
        <v>200</v>
      </c>
      <c r="D283" t="s">
        <v>17</v>
      </c>
      <c r="E283">
        <v>537761</v>
      </c>
      <c r="F283" t="s">
        <v>1562</v>
      </c>
      <c r="H283" s="4">
        <v>45793</v>
      </c>
      <c r="I283" t="s">
        <v>1966</v>
      </c>
    </row>
    <row r="284" spans="1:9" x14ac:dyDescent="0.25">
      <c r="A284" t="s">
        <v>1385</v>
      </c>
      <c r="B284" t="s">
        <v>1330</v>
      </c>
      <c r="C284" s="3">
        <v>150</v>
      </c>
      <c r="D284" t="s">
        <v>17</v>
      </c>
      <c r="E284">
        <v>539250</v>
      </c>
      <c r="F284" t="s">
        <v>1562</v>
      </c>
      <c r="H284" s="4">
        <v>45797</v>
      </c>
      <c r="I284" t="s">
        <v>1966</v>
      </c>
    </row>
    <row r="285" spans="1:9" x14ac:dyDescent="0.25">
      <c r="A285" t="s">
        <v>342</v>
      </c>
      <c r="B285" t="s">
        <v>1330</v>
      </c>
      <c r="C285" s="3">
        <v>150</v>
      </c>
      <c r="D285" t="s">
        <v>53</v>
      </c>
      <c r="E285">
        <v>539252</v>
      </c>
      <c r="F285" t="s">
        <v>1562</v>
      </c>
      <c r="H285" s="4">
        <v>45797</v>
      </c>
      <c r="I285" t="s">
        <v>1966</v>
      </c>
    </row>
    <row r="286" spans="1:9" x14ac:dyDescent="0.25">
      <c r="A286" t="s">
        <v>1383</v>
      </c>
      <c r="B286" t="s">
        <v>1330</v>
      </c>
      <c r="C286" s="3">
        <v>20</v>
      </c>
      <c r="D286" t="s">
        <v>9</v>
      </c>
      <c r="E286">
        <v>539234</v>
      </c>
      <c r="F286" t="s">
        <v>1562</v>
      </c>
      <c r="G286" t="s">
        <v>1590</v>
      </c>
      <c r="H286" s="4">
        <v>45797</v>
      </c>
      <c r="I286" t="s">
        <v>1966</v>
      </c>
    </row>
    <row r="287" spans="1:9" x14ac:dyDescent="0.25">
      <c r="A287" t="s">
        <v>1387</v>
      </c>
      <c r="B287" t="s">
        <v>1330</v>
      </c>
      <c r="C287" s="3">
        <v>200</v>
      </c>
      <c r="D287" t="s">
        <v>17</v>
      </c>
      <c r="E287">
        <v>539258</v>
      </c>
      <c r="F287" t="s">
        <v>1562</v>
      </c>
      <c r="H287" s="4">
        <v>45798</v>
      </c>
      <c r="I287" t="s">
        <v>1966</v>
      </c>
    </row>
    <row r="288" spans="1:9" x14ac:dyDescent="0.25">
      <c r="A288" t="s">
        <v>1386</v>
      </c>
      <c r="B288" t="s">
        <v>1330</v>
      </c>
      <c r="C288" s="3">
        <v>15</v>
      </c>
      <c r="D288" t="s">
        <v>17</v>
      </c>
      <c r="E288">
        <v>539255</v>
      </c>
      <c r="F288" t="s">
        <v>1562</v>
      </c>
      <c r="G288" t="s">
        <v>1590</v>
      </c>
      <c r="H288" s="4">
        <v>45798</v>
      </c>
      <c r="I288" t="s">
        <v>1966</v>
      </c>
    </row>
    <row r="289" spans="1:9" x14ac:dyDescent="0.25">
      <c r="A289" t="s">
        <v>1388</v>
      </c>
      <c r="B289" t="s">
        <v>1330</v>
      </c>
      <c r="C289" s="3">
        <v>100</v>
      </c>
      <c r="D289" t="s">
        <v>17</v>
      </c>
      <c r="E289">
        <v>539261</v>
      </c>
      <c r="F289" t="s">
        <v>1562</v>
      </c>
      <c r="H289" s="4">
        <v>45803</v>
      </c>
      <c r="I289" t="s">
        <v>1966</v>
      </c>
    </row>
    <row r="290" spans="1:9" x14ac:dyDescent="0.25">
      <c r="A290" t="s">
        <v>1338</v>
      </c>
      <c r="B290" t="s">
        <v>1330</v>
      </c>
      <c r="C290" s="3">
        <v>200</v>
      </c>
      <c r="D290" t="s">
        <v>17</v>
      </c>
      <c r="E290">
        <v>539265</v>
      </c>
      <c r="F290" t="s">
        <v>1562</v>
      </c>
      <c r="H290" s="4">
        <v>45803</v>
      </c>
      <c r="I290" t="s">
        <v>1966</v>
      </c>
    </row>
    <row r="291" spans="1:9" x14ac:dyDescent="0.25">
      <c r="A291" t="s">
        <v>1389</v>
      </c>
      <c r="B291" t="s">
        <v>1330</v>
      </c>
      <c r="C291" s="3">
        <v>100</v>
      </c>
      <c r="D291" t="s">
        <v>17</v>
      </c>
      <c r="E291">
        <v>539268</v>
      </c>
      <c r="F291" t="s">
        <v>1562</v>
      </c>
      <c r="G291" t="s">
        <v>1590</v>
      </c>
      <c r="H291" s="4">
        <v>45804</v>
      </c>
      <c r="I291" t="s">
        <v>1966</v>
      </c>
    </row>
    <row r="292" spans="1:9" x14ac:dyDescent="0.25">
      <c r="A292" t="s">
        <v>1392</v>
      </c>
      <c r="B292" t="s">
        <v>1330</v>
      </c>
      <c r="C292" s="3">
        <v>500</v>
      </c>
      <c r="D292" t="s">
        <v>17</v>
      </c>
      <c r="E292">
        <v>539271</v>
      </c>
      <c r="F292" t="s">
        <v>1562</v>
      </c>
      <c r="H292" s="4">
        <v>45804</v>
      </c>
      <c r="I292" t="s">
        <v>1966</v>
      </c>
    </row>
    <row r="293" spans="1:9" x14ac:dyDescent="0.25">
      <c r="A293" t="s">
        <v>1976</v>
      </c>
      <c r="B293" t="s">
        <v>1330</v>
      </c>
      <c r="C293" s="3">
        <v>50</v>
      </c>
      <c r="D293" t="s">
        <v>17</v>
      </c>
      <c r="E293">
        <v>539302</v>
      </c>
      <c r="F293" t="s">
        <v>1562</v>
      </c>
      <c r="G293" t="s">
        <v>1594</v>
      </c>
      <c r="H293" s="4">
        <v>45805</v>
      </c>
      <c r="I293" t="s">
        <v>1966</v>
      </c>
    </row>
    <row r="294" spans="1:9" x14ac:dyDescent="0.25">
      <c r="A294" t="s">
        <v>1391</v>
      </c>
      <c r="B294" t="s">
        <v>1330</v>
      </c>
      <c r="C294" s="3">
        <v>51</v>
      </c>
      <c r="D294" t="s">
        <v>17</v>
      </c>
      <c r="E294">
        <v>539303</v>
      </c>
      <c r="F294" t="s">
        <v>1562</v>
      </c>
      <c r="G294" t="s">
        <v>1287</v>
      </c>
      <c r="H294" s="4">
        <v>45805</v>
      </c>
      <c r="I294" t="s">
        <v>1966</v>
      </c>
    </row>
    <row r="295" spans="1:9" x14ac:dyDescent="0.25">
      <c r="A295" t="s">
        <v>1339</v>
      </c>
      <c r="B295" t="s">
        <v>1330</v>
      </c>
      <c r="C295" s="3">
        <v>200</v>
      </c>
      <c r="D295" t="s">
        <v>17</v>
      </c>
      <c r="E295">
        <v>539283</v>
      </c>
      <c r="F295" t="s">
        <v>1562</v>
      </c>
      <c r="H295" s="4">
        <v>45805</v>
      </c>
      <c r="I295" t="s">
        <v>1966</v>
      </c>
    </row>
    <row r="296" spans="1:9" x14ac:dyDescent="0.25">
      <c r="A296" t="s">
        <v>1068</v>
      </c>
      <c r="B296" t="s">
        <v>1330</v>
      </c>
      <c r="C296" s="3">
        <v>100</v>
      </c>
      <c r="D296" t="s">
        <v>17</v>
      </c>
      <c r="E296">
        <v>539273</v>
      </c>
      <c r="F296" t="s">
        <v>1562</v>
      </c>
      <c r="H296" s="4">
        <v>45805</v>
      </c>
      <c r="I296" t="s">
        <v>1966</v>
      </c>
    </row>
    <row r="297" spans="1:9" x14ac:dyDescent="0.25">
      <c r="A297" t="s">
        <v>1275</v>
      </c>
      <c r="B297" t="s">
        <v>1330</v>
      </c>
      <c r="C297" s="3">
        <v>25</v>
      </c>
      <c r="D297" t="s">
        <v>17</v>
      </c>
      <c r="E297">
        <v>539274</v>
      </c>
      <c r="F297" t="s">
        <v>1562</v>
      </c>
      <c r="G297" t="s">
        <v>1287</v>
      </c>
      <c r="H297" s="4">
        <v>45805</v>
      </c>
      <c r="I297" t="s">
        <v>1966</v>
      </c>
    </row>
    <row r="298" spans="1:9" x14ac:dyDescent="0.25">
      <c r="A298" t="s">
        <v>1390</v>
      </c>
      <c r="B298" t="s">
        <v>1330</v>
      </c>
      <c r="C298" s="3">
        <v>200</v>
      </c>
      <c r="D298" t="s">
        <v>17</v>
      </c>
      <c r="E298">
        <v>539289</v>
      </c>
      <c r="F298" t="s">
        <v>1562</v>
      </c>
      <c r="H298" s="4">
        <v>45805</v>
      </c>
      <c r="I298" t="s">
        <v>1966</v>
      </c>
    </row>
    <row r="299" spans="1:9" x14ac:dyDescent="0.25">
      <c r="A299" t="s">
        <v>1064</v>
      </c>
      <c r="B299" t="s">
        <v>1330</v>
      </c>
      <c r="C299" s="3">
        <v>250</v>
      </c>
      <c r="D299" t="s">
        <v>17</v>
      </c>
      <c r="E299">
        <v>539298</v>
      </c>
      <c r="F299" t="s">
        <v>1562</v>
      </c>
      <c r="H299" s="4">
        <v>45806</v>
      </c>
      <c r="I299" t="s">
        <v>1966</v>
      </c>
    </row>
    <row r="300" spans="1:9" x14ac:dyDescent="0.25">
      <c r="A300" t="s">
        <v>1343</v>
      </c>
      <c r="B300" t="s">
        <v>1330</v>
      </c>
      <c r="C300" s="3">
        <v>500</v>
      </c>
      <c r="D300" t="s">
        <v>17</v>
      </c>
      <c r="E300">
        <v>537791</v>
      </c>
      <c r="F300" t="s">
        <v>1562</v>
      </c>
      <c r="G300" t="s">
        <v>1595</v>
      </c>
      <c r="H300" s="4">
        <v>45806</v>
      </c>
      <c r="I300" t="s">
        <v>1966</v>
      </c>
    </row>
    <row r="301" spans="1:9" x14ac:dyDescent="0.25">
      <c r="A301" t="s">
        <v>1993</v>
      </c>
      <c r="B301" t="s">
        <v>1330</v>
      </c>
      <c r="C301" s="3">
        <v>160</v>
      </c>
      <c r="D301" t="s">
        <v>1994</v>
      </c>
      <c r="E301">
        <v>549518</v>
      </c>
      <c r="F301" t="s">
        <v>1563</v>
      </c>
      <c r="G301" t="s">
        <v>1995</v>
      </c>
      <c r="H301" s="4">
        <v>45807</v>
      </c>
      <c r="I301" t="s">
        <v>1966</v>
      </c>
    </row>
    <row r="302" spans="1:9" x14ac:dyDescent="0.25">
      <c r="A302" t="s">
        <v>1993</v>
      </c>
      <c r="B302" t="s">
        <v>1330</v>
      </c>
      <c r="C302" s="3">
        <v>520</v>
      </c>
      <c r="D302" t="s">
        <v>1994</v>
      </c>
      <c r="E302">
        <v>549519</v>
      </c>
      <c r="F302" t="s">
        <v>1563</v>
      </c>
      <c r="G302" t="s">
        <v>1996</v>
      </c>
      <c r="H302" s="4">
        <v>45807</v>
      </c>
      <c r="I302" t="s">
        <v>1966</v>
      </c>
    </row>
    <row r="303" spans="1:9" x14ac:dyDescent="0.25">
      <c r="A303" t="s">
        <v>1993</v>
      </c>
      <c r="B303" t="s">
        <v>1330</v>
      </c>
      <c r="C303" s="3">
        <v>200</v>
      </c>
      <c r="D303" t="s">
        <v>1994</v>
      </c>
      <c r="E303">
        <v>549520</v>
      </c>
      <c r="F303" t="s">
        <v>1563</v>
      </c>
      <c r="G303" t="s">
        <v>1997</v>
      </c>
      <c r="H303" s="4">
        <v>45807</v>
      </c>
      <c r="I303" t="s">
        <v>1966</v>
      </c>
    </row>
    <row r="304" spans="1:9" x14ac:dyDescent="0.25">
      <c r="A304" t="s">
        <v>1993</v>
      </c>
      <c r="B304" t="s">
        <v>1330</v>
      </c>
      <c r="C304" s="3">
        <v>345</v>
      </c>
      <c r="D304" t="s">
        <v>1994</v>
      </c>
      <c r="E304">
        <v>549521</v>
      </c>
      <c r="F304" t="s">
        <v>1563</v>
      </c>
      <c r="G304" t="s">
        <v>1998</v>
      </c>
      <c r="H304" s="4">
        <v>45807</v>
      </c>
      <c r="I304" t="s">
        <v>1966</v>
      </c>
    </row>
    <row r="305" spans="1:9" x14ac:dyDescent="0.25">
      <c r="A305" t="s">
        <v>1993</v>
      </c>
      <c r="B305" t="s">
        <v>1330</v>
      </c>
      <c r="C305" s="3">
        <v>520</v>
      </c>
      <c r="D305" t="s">
        <v>1994</v>
      </c>
      <c r="E305">
        <v>549522</v>
      </c>
      <c r="F305" t="s">
        <v>1563</v>
      </c>
      <c r="G305" t="s">
        <v>1999</v>
      </c>
      <c r="H305" s="4">
        <v>45807</v>
      </c>
      <c r="I305" t="s">
        <v>1966</v>
      </c>
    </row>
    <row r="306" spans="1:9" x14ac:dyDescent="0.25">
      <c r="A306" t="s">
        <v>1993</v>
      </c>
      <c r="B306" t="s">
        <v>1330</v>
      </c>
      <c r="C306" s="3">
        <v>520</v>
      </c>
      <c r="D306" t="s">
        <v>1994</v>
      </c>
      <c r="E306">
        <v>549523</v>
      </c>
      <c r="F306" t="s">
        <v>1563</v>
      </c>
      <c r="G306" t="s">
        <v>2000</v>
      </c>
      <c r="H306" s="4">
        <v>45807</v>
      </c>
      <c r="I306" t="s">
        <v>1966</v>
      </c>
    </row>
    <row r="307" spans="1:9" x14ac:dyDescent="0.25">
      <c r="A307" t="s">
        <v>1993</v>
      </c>
      <c r="B307" t="s">
        <v>1330</v>
      </c>
      <c r="C307" s="3">
        <v>520</v>
      </c>
      <c r="D307" t="s">
        <v>1994</v>
      </c>
      <c r="E307">
        <v>549524</v>
      </c>
      <c r="F307" t="s">
        <v>1563</v>
      </c>
      <c r="G307" t="s">
        <v>2001</v>
      </c>
      <c r="H307" s="4">
        <v>45807</v>
      </c>
      <c r="I307" t="s">
        <v>1966</v>
      </c>
    </row>
    <row r="308" spans="1:9" x14ac:dyDescent="0.25">
      <c r="A308" t="s">
        <v>1993</v>
      </c>
      <c r="B308" t="s">
        <v>1330</v>
      </c>
      <c r="C308" s="3">
        <v>210</v>
      </c>
      <c r="D308" t="s">
        <v>1994</v>
      </c>
      <c r="E308">
        <v>549525</v>
      </c>
      <c r="F308" t="s">
        <v>1563</v>
      </c>
      <c r="G308" t="s">
        <v>2002</v>
      </c>
      <c r="H308" s="4">
        <v>45807</v>
      </c>
      <c r="I308" t="s">
        <v>1966</v>
      </c>
    </row>
    <row r="309" spans="1:9" x14ac:dyDescent="0.25">
      <c r="A309" t="s">
        <v>1993</v>
      </c>
      <c r="B309" t="s">
        <v>1330</v>
      </c>
      <c r="C309" s="3">
        <v>180</v>
      </c>
      <c r="D309" t="s">
        <v>1994</v>
      </c>
      <c r="E309">
        <v>549526</v>
      </c>
      <c r="F309" t="s">
        <v>1563</v>
      </c>
      <c r="G309" t="s">
        <v>2003</v>
      </c>
      <c r="H309" s="4">
        <v>45807</v>
      </c>
      <c r="I309" t="s">
        <v>1966</v>
      </c>
    </row>
    <row r="310" spans="1:9" x14ac:dyDescent="0.25">
      <c r="A310" t="s">
        <v>1993</v>
      </c>
      <c r="B310" t="s">
        <v>1330</v>
      </c>
      <c r="C310" s="3">
        <v>180</v>
      </c>
      <c r="D310" t="s">
        <v>1994</v>
      </c>
      <c r="E310">
        <v>549527</v>
      </c>
      <c r="F310" t="s">
        <v>1563</v>
      </c>
      <c r="G310" t="s">
        <v>2004</v>
      </c>
      <c r="H310" s="4">
        <v>45807</v>
      </c>
      <c r="I310" t="s">
        <v>1966</v>
      </c>
    </row>
    <row r="311" spans="1:9" x14ac:dyDescent="0.25">
      <c r="A311" t="s">
        <v>1360</v>
      </c>
      <c r="B311" t="s">
        <v>1330</v>
      </c>
      <c r="C311" s="3">
        <v>100</v>
      </c>
      <c r="D311" t="s">
        <v>17</v>
      </c>
      <c r="E311">
        <v>539703</v>
      </c>
      <c r="F311" t="s">
        <v>1562</v>
      </c>
      <c r="G311" t="s">
        <v>1596</v>
      </c>
      <c r="H311" s="4">
        <v>45810</v>
      </c>
      <c r="I311" t="s">
        <v>1966</v>
      </c>
    </row>
    <row r="312" spans="1:9" x14ac:dyDescent="0.25">
      <c r="A312" t="s">
        <v>1355</v>
      </c>
      <c r="B312" t="s">
        <v>1330</v>
      </c>
      <c r="C312" s="3">
        <v>100</v>
      </c>
      <c r="D312" t="s">
        <v>17</v>
      </c>
      <c r="E312">
        <v>539705</v>
      </c>
      <c r="F312" t="s">
        <v>1562</v>
      </c>
      <c r="G312" t="s">
        <v>1596</v>
      </c>
      <c r="H312" s="4">
        <v>45810</v>
      </c>
      <c r="I312" t="s">
        <v>1966</v>
      </c>
    </row>
    <row r="313" spans="1:9" x14ac:dyDescent="0.25">
      <c r="A313" t="s">
        <v>1354</v>
      </c>
      <c r="B313" t="s">
        <v>1330</v>
      </c>
      <c r="C313" s="3">
        <v>100</v>
      </c>
      <c r="D313" t="s">
        <v>17</v>
      </c>
      <c r="E313">
        <v>539713</v>
      </c>
      <c r="F313" t="s">
        <v>1562</v>
      </c>
      <c r="G313" t="s">
        <v>1596</v>
      </c>
      <c r="H313" s="4">
        <v>45811</v>
      </c>
      <c r="I313" t="s">
        <v>1966</v>
      </c>
    </row>
    <row r="314" spans="1:9" x14ac:dyDescent="0.25">
      <c r="A314" t="s">
        <v>1353</v>
      </c>
      <c r="B314" t="s">
        <v>1330</v>
      </c>
      <c r="C314" s="3">
        <v>25</v>
      </c>
      <c r="D314" t="s">
        <v>17</v>
      </c>
      <c r="E314">
        <v>539714</v>
      </c>
      <c r="F314" t="s">
        <v>1562</v>
      </c>
      <c r="G314" t="s">
        <v>1596</v>
      </c>
      <c r="H314" s="4">
        <v>45811</v>
      </c>
      <c r="I314" t="s">
        <v>1966</v>
      </c>
    </row>
    <row r="315" spans="1:9" x14ac:dyDescent="0.25">
      <c r="A315" t="s">
        <v>1359</v>
      </c>
      <c r="B315" t="s">
        <v>1330</v>
      </c>
      <c r="C315" s="3">
        <v>100</v>
      </c>
      <c r="D315" t="s">
        <v>17</v>
      </c>
      <c r="E315">
        <v>539708</v>
      </c>
      <c r="F315" t="s">
        <v>1562</v>
      </c>
      <c r="G315" t="s">
        <v>1596</v>
      </c>
      <c r="H315" s="4">
        <v>45811</v>
      </c>
      <c r="I315" t="s">
        <v>1966</v>
      </c>
    </row>
    <row r="316" spans="1:9" x14ac:dyDescent="0.25">
      <c r="A316" t="s">
        <v>1358</v>
      </c>
      <c r="B316" t="s">
        <v>1330</v>
      </c>
      <c r="C316" s="3">
        <v>100</v>
      </c>
      <c r="D316" t="s">
        <v>17</v>
      </c>
      <c r="E316">
        <v>539709</v>
      </c>
      <c r="F316" t="s">
        <v>1562</v>
      </c>
      <c r="G316" t="s">
        <v>1596</v>
      </c>
      <c r="H316" s="4">
        <v>45811</v>
      </c>
      <c r="I316" t="s">
        <v>1966</v>
      </c>
    </row>
    <row r="317" spans="1:9" x14ac:dyDescent="0.25">
      <c r="A317" t="s">
        <v>1032</v>
      </c>
      <c r="B317" t="s">
        <v>1330</v>
      </c>
      <c r="C317" s="3">
        <v>50</v>
      </c>
      <c r="D317" t="s">
        <v>17</v>
      </c>
      <c r="E317">
        <v>539716</v>
      </c>
      <c r="F317" t="s">
        <v>1562</v>
      </c>
      <c r="G317" t="s">
        <v>1287</v>
      </c>
      <c r="H317" s="4">
        <v>45811</v>
      </c>
      <c r="I317" t="s">
        <v>1966</v>
      </c>
    </row>
    <row r="318" spans="1:9" x14ac:dyDescent="0.25">
      <c r="A318" t="s">
        <v>1332</v>
      </c>
      <c r="B318" t="s">
        <v>1330</v>
      </c>
      <c r="C318" s="3">
        <v>2770</v>
      </c>
      <c r="D318" t="s">
        <v>17</v>
      </c>
      <c r="E318">
        <v>538032</v>
      </c>
      <c r="F318" t="s">
        <v>1562</v>
      </c>
      <c r="G318" t="s">
        <v>1597</v>
      </c>
      <c r="H318" s="4">
        <v>45811</v>
      </c>
      <c r="I318" t="s">
        <v>1966</v>
      </c>
    </row>
    <row r="319" spans="1:9" x14ac:dyDescent="0.25">
      <c r="A319" t="s">
        <v>1332</v>
      </c>
      <c r="B319" t="s">
        <v>1330</v>
      </c>
      <c r="C319" s="3">
        <v>80</v>
      </c>
      <c r="D319" t="s">
        <v>17</v>
      </c>
      <c r="E319">
        <v>538033</v>
      </c>
      <c r="F319" t="s">
        <v>1562</v>
      </c>
      <c r="G319" t="s">
        <v>1598</v>
      </c>
      <c r="H319" s="4">
        <v>45811</v>
      </c>
      <c r="I319" t="s">
        <v>1966</v>
      </c>
    </row>
    <row r="320" spans="1:9" x14ac:dyDescent="0.25">
      <c r="A320" t="s">
        <v>1332</v>
      </c>
      <c r="B320" t="s">
        <v>1330</v>
      </c>
      <c r="C320" s="3">
        <v>920</v>
      </c>
      <c r="D320" t="s">
        <v>17</v>
      </c>
      <c r="E320">
        <v>538034</v>
      </c>
      <c r="F320" t="s">
        <v>1562</v>
      </c>
      <c r="G320" t="s">
        <v>1599</v>
      </c>
      <c r="H320" s="4">
        <v>45811</v>
      </c>
      <c r="I320" t="s">
        <v>1966</v>
      </c>
    </row>
    <row r="321" spans="1:9" x14ac:dyDescent="0.25">
      <c r="A321" t="s">
        <v>1332</v>
      </c>
      <c r="B321" t="s">
        <v>1330</v>
      </c>
      <c r="C321" s="3">
        <v>1680</v>
      </c>
      <c r="D321" t="s">
        <v>17</v>
      </c>
      <c r="E321">
        <v>538035</v>
      </c>
      <c r="F321" t="s">
        <v>1562</v>
      </c>
      <c r="G321" t="s">
        <v>1600</v>
      </c>
      <c r="H321" s="4">
        <v>45811</v>
      </c>
      <c r="I321" t="s">
        <v>1966</v>
      </c>
    </row>
    <row r="322" spans="1:9" x14ac:dyDescent="0.25">
      <c r="A322" t="s">
        <v>1341</v>
      </c>
      <c r="B322" t="s">
        <v>1330</v>
      </c>
      <c r="C322" s="3">
        <v>950</v>
      </c>
      <c r="D322" t="s">
        <v>17</v>
      </c>
      <c r="E322">
        <v>538039</v>
      </c>
      <c r="F322" t="s">
        <v>1562</v>
      </c>
      <c r="G322" t="s">
        <v>1601</v>
      </c>
      <c r="H322" s="4">
        <v>45811</v>
      </c>
      <c r="I322" t="s">
        <v>1966</v>
      </c>
    </row>
    <row r="323" spans="1:9" x14ac:dyDescent="0.25">
      <c r="A323" t="s">
        <v>1340</v>
      </c>
      <c r="B323" t="s">
        <v>1330</v>
      </c>
      <c r="C323" s="3">
        <v>1550</v>
      </c>
      <c r="D323" t="s">
        <v>17</v>
      </c>
      <c r="E323">
        <v>538040</v>
      </c>
      <c r="F323" t="s">
        <v>1562</v>
      </c>
      <c r="G323" t="s">
        <v>1602</v>
      </c>
      <c r="H323" s="4">
        <v>45811</v>
      </c>
      <c r="I323" t="s">
        <v>1966</v>
      </c>
    </row>
    <row r="324" spans="1:9" x14ac:dyDescent="0.25">
      <c r="A324" t="s">
        <v>1339</v>
      </c>
      <c r="B324" t="s">
        <v>1330</v>
      </c>
      <c r="C324" s="3">
        <v>1250</v>
      </c>
      <c r="D324" t="s">
        <v>17</v>
      </c>
      <c r="E324">
        <v>538041</v>
      </c>
      <c r="F324" t="s">
        <v>1562</v>
      </c>
      <c r="G324" t="s">
        <v>1603</v>
      </c>
      <c r="H324" s="4">
        <v>45811</v>
      </c>
      <c r="I324" t="s">
        <v>1966</v>
      </c>
    </row>
    <row r="325" spans="1:9" x14ac:dyDescent="0.25">
      <c r="A325" t="s">
        <v>1338</v>
      </c>
      <c r="B325" t="s">
        <v>1330</v>
      </c>
      <c r="C325" s="3">
        <v>2350</v>
      </c>
      <c r="D325" t="s">
        <v>17</v>
      </c>
      <c r="E325">
        <v>538042</v>
      </c>
      <c r="F325" t="s">
        <v>1562</v>
      </c>
      <c r="G325" t="s">
        <v>1604</v>
      </c>
      <c r="H325" s="4">
        <v>45811</v>
      </c>
      <c r="I325" t="s">
        <v>1966</v>
      </c>
    </row>
    <row r="326" spans="1:9" x14ac:dyDescent="0.25">
      <c r="A326" t="s">
        <v>1337</v>
      </c>
      <c r="B326" t="s">
        <v>1330</v>
      </c>
      <c r="C326" s="3">
        <v>6000</v>
      </c>
      <c r="D326" t="s">
        <v>17</v>
      </c>
      <c r="E326">
        <v>538043</v>
      </c>
      <c r="F326" t="s">
        <v>1562</v>
      </c>
      <c r="G326" t="s">
        <v>1605</v>
      </c>
      <c r="H326" s="4">
        <v>45811</v>
      </c>
      <c r="I326" t="s">
        <v>1966</v>
      </c>
    </row>
    <row r="327" spans="1:9" x14ac:dyDescent="0.25">
      <c r="A327" t="s">
        <v>1117</v>
      </c>
      <c r="B327" t="s">
        <v>1330</v>
      </c>
      <c r="C327" s="3">
        <v>650</v>
      </c>
      <c r="D327" t="s">
        <v>17</v>
      </c>
      <c r="E327">
        <v>538044</v>
      </c>
      <c r="F327" t="s">
        <v>1562</v>
      </c>
      <c r="G327" t="s">
        <v>1606</v>
      </c>
      <c r="H327" s="4">
        <v>45811</v>
      </c>
      <c r="I327" t="s">
        <v>1966</v>
      </c>
    </row>
    <row r="328" spans="1:9" x14ac:dyDescent="0.25">
      <c r="A328" t="s">
        <v>1336</v>
      </c>
      <c r="B328" t="s">
        <v>1330</v>
      </c>
      <c r="C328" s="3">
        <v>1100</v>
      </c>
      <c r="D328" t="s">
        <v>17</v>
      </c>
      <c r="E328">
        <v>538045</v>
      </c>
      <c r="F328" t="s">
        <v>1562</v>
      </c>
      <c r="G328" t="s">
        <v>1607</v>
      </c>
      <c r="H328" s="4">
        <v>45811</v>
      </c>
      <c r="I328" t="s">
        <v>1966</v>
      </c>
    </row>
    <row r="329" spans="1:9" x14ac:dyDescent="0.25">
      <c r="A329" t="s">
        <v>1335</v>
      </c>
      <c r="B329" t="s">
        <v>1330</v>
      </c>
      <c r="C329" s="3">
        <v>1800</v>
      </c>
      <c r="D329" t="s">
        <v>17</v>
      </c>
      <c r="E329">
        <v>538046</v>
      </c>
      <c r="F329" t="s">
        <v>1562</v>
      </c>
      <c r="G329" t="s">
        <v>1608</v>
      </c>
      <c r="H329" s="4">
        <v>45811</v>
      </c>
      <c r="I329" t="s">
        <v>1966</v>
      </c>
    </row>
    <row r="330" spans="1:9" x14ac:dyDescent="0.25">
      <c r="A330" t="s">
        <v>1031</v>
      </c>
      <c r="B330" t="s">
        <v>1330</v>
      </c>
      <c r="C330" s="3">
        <v>650</v>
      </c>
      <c r="D330" t="s">
        <v>17</v>
      </c>
      <c r="E330">
        <v>538047</v>
      </c>
      <c r="F330" t="s">
        <v>1562</v>
      </c>
      <c r="G330" t="s">
        <v>1609</v>
      </c>
      <c r="H330" s="4">
        <v>45811</v>
      </c>
      <c r="I330" t="s">
        <v>1966</v>
      </c>
    </row>
    <row r="331" spans="1:9" x14ac:dyDescent="0.25">
      <c r="A331" t="s">
        <v>1334</v>
      </c>
      <c r="B331" t="s">
        <v>1330</v>
      </c>
      <c r="C331" s="3">
        <v>700</v>
      </c>
      <c r="D331" t="s">
        <v>17</v>
      </c>
      <c r="E331">
        <v>538048</v>
      </c>
      <c r="F331" t="s">
        <v>1562</v>
      </c>
      <c r="G331" t="s">
        <v>1610</v>
      </c>
      <c r="H331" s="4">
        <v>45811</v>
      </c>
      <c r="I331" t="s">
        <v>1966</v>
      </c>
    </row>
    <row r="332" spans="1:9" x14ac:dyDescent="0.25">
      <c r="A332" t="s">
        <v>1333</v>
      </c>
      <c r="B332" t="s">
        <v>1330</v>
      </c>
      <c r="C332" s="3">
        <v>1300</v>
      </c>
      <c r="D332" t="s">
        <v>17</v>
      </c>
      <c r="E332">
        <v>538049</v>
      </c>
      <c r="F332" t="s">
        <v>1562</v>
      </c>
      <c r="G332" t="s">
        <v>1611</v>
      </c>
      <c r="H332" s="4">
        <v>45811</v>
      </c>
      <c r="I332" t="s">
        <v>1966</v>
      </c>
    </row>
    <row r="333" spans="1:9" x14ac:dyDescent="0.25">
      <c r="A333" t="s">
        <v>98</v>
      </c>
      <c r="B333" t="s">
        <v>1330</v>
      </c>
      <c r="C333" s="3">
        <v>1000</v>
      </c>
      <c r="D333" t="s">
        <v>17</v>
      </c>
      <c r="E333">
        <v>538050</v>
      </c>
      <c r="F333" t="s">
        <v>1562</v>
      </c>
      <c r="G333" t="s">
        <v>1612</v>
      </c>
      <c r="H333" s="4">
        <v>45811</v>
      </c>
      <c r="I333" t="s">
        <v>1966</v>
      </c>
    </row>
    <row r="334" spans="1:9" x14ac:dyDescent="0.25">
      <c r="A334" t="s">
        <v>1111</v>
      </c>
      <c r="B334" t="s">
        <v>1330</v>
      </c>
      <c r="C334" s="3">
        <v>800</v>
      </c>
      <c r="D334" t="s">
        <v>17</v>
      </c>
      <c r="E334">
        <v>538051</v>
      </c>
      <c r="F334" t="s">
        <v>1562</v>
      </c>
      <c r="G334" t="s">
        <v>1613</v>
      </c>
      <c r="H334" s="4">
        <v>45811</v>
      </c>
      <c r="I334" t="s">
        <v>1966</v>
      </c>
    </row>
    <row r="335" spans="1:9" x14ac:dyDescent="0.25">
      <c r="A335" t="s">
        <v>1264</v>
      </c>
      <c r="B335" t="s">
        <v>1330</v>
      </c>
      <c r="C335" s="3">
        <v>750</v>
      </c>
      <c r="D335" t="s">
        <v>17</v>
      </c>
      <c r="E335">
        <v>538052</v>
      </c>
      <c r="F335" t="s">
        <v>1562</v>
      </c>
      <c r="G335" t="s">
        <v>1614</v>
      </c>
      <c r="H335" s="4">
        <v>45811</v>
      </c>
      <c r="I335" t="s">
        <v>1966</v>
      </c>
    </row>
    <row r="336" spans="1:9" x14ac:dyDescent="0.25">
      <c r="A336" t="s">
        <v>1331</v>
      </c>
      <c r="B336" t="s">
        <v>1330</v>
      </c>
      <c r="C336" s="3">
        <v>1250</v>
      </c>
      <c r="D336" t="s">
        <v>17</v>
      </c>
      <c r="E336">
        <v>538053</v>
      </c>
      <c r="F336" t="s">
        <v>1562</v>
      </c>
      <c r="G336" t="s">
        <v>1615</v>
      </c>
      <c r="H336" s="4">
        <v>45811</v>
      </c>
      <c r="I336" t="s">
        <v>1966</v>
      </c>
    </row>
    <row r="337" spans="1:9" x14ac:dyDescent="0.25">
      <c r="A337" t="s">
        <v>1332</v>
      </c>
      <c r="B337" t="s">
        <v>1330</v>
      </c>
      <c r="C337" s="3">
        <v>580</v>
      </c>
      <c r="D337" t="s">
        <v>17</v>
      </c>
      <c r="E337">
        <v>538054</v>
      </c>
      <c r="F337" t="s">
        <v>1562</v>
      </c>
      <c r="G337" t="s">
        <v>1616</v>
      </c>
      <c r="H337" s="4">
        <v>45811</v>
      </c>
      <c r="I337" t="s">
        <v>1966</v>
      </c>
    </row>
    <row r="338" spans="1:9" x14ac:dyDescent="0.25">
      <c r="A338" t="s">
        <v>1331</v>
      </c>
      <c r="B338" t="s">
        <v>1330</v>
      </c>
      <c r="C338" s="3">
        <v>20</v>
      </c>
      <c r="D338" t="s">
        <v>17</v>
      </c>
      <c r="E338">
        <v>538055</v>
      </c>
      <c r="F338" t="s">
        <v>1562</v>
      </c>
      <c r="G338" t="s">
        <v>1617</v>
      </c>
      <c r="H338" s="4">
        <v>45811</v>
      </c>
      <c r="I338" t="s">
        <v>1966</v>
      </c>
    </row>
    <row r="339" spans="1:9" x14ac:dyDescent="0.25">
      <c r="A339" t="s">
        <v>1352</v>
      </c>
      <c r="B339" t="s">
        <v>1330</v>
      </c>
      <c r="C339" s="3">
        <v>50</v>
      </c>
      <c r="D339" t="s">
        <v>17</v>
      </c>
      <c r="E339">
        <v>539729</v>
      </c>
      <c r="F339" t="s">
        <v>1562</v>
      </c>
      <c r="G339" t="s">
        <v>1618</v>
      </c>
      <c r="H339" s="4">
        <v>45812</v>
      </c>
      <c r="I339" t="s">
        <v>1966</v>
      </c>
    </row>
    <row r="340" spans="1:9" x14ac:dyDescent="0.25">
      <c r="A340" t="s">
        <v>1351</v>
      </c>
      <c r="B340" t="s">
        <v>1330</v>
      </c>
      <c r="C340" s="3">
        <v>100</v>
      </c>
      <c r="D340" t="s">
        <v>17</v>
      </c>
      <c r="E340">
        <v>539730</v>
      </c>
      <c r="F340" t="s">
        <v>1562</v>
      </c>
      <c r="G340" t="s">
        <v>1596</v>
      </c>
      <c r="H340" s="4">
        <v>45812</v>
      </c>
      <c r="I340" t="s">
        <v>1966</v>
      </c>
    </row>
    <row r="341" spans="1:9" x14ac:dyDescent="0.25">
      <c r="A341" t="s">
        <v>1357</v>
      </c>
      <c r="B341" t="s">
        <v>1330</v>
      </c>
      <c r="C341" s="3">
        <v>20</v>
      </c>
      <c r="D341" t="s">
        <v>17</v>
      </c>
      <c r="E341">
        <v>539732</v>
      </c>
      <c r="F341" t="s">
        <v>1562</v>
      </c>
      <c r="G341" t="s">
        <v>1589</v>
      </c>
      <c r="H341" s="4">
        <v>45812</v>
      </c>
      <c r="I341" t="s">
        <v>1966</v>
      </c>
    </row>
    <row r="342" spans="1:9" x14ac:dyDescent="0.25">
      <c r="A342" t="s">
        <v>1356</v>
      </c>
      <c r="B342" t="s">
        <v>1330</v>
      </c>
      <c r="C342" s="3">
        <v>250</v>
      </c>
      <c r="D342" t="s">
        <v>17</v>
      </c>
      <c r="E342">
        <v>539733</v>
      </c>
      <c r="F342" t="s">
        <v>1562</v>
      </c>
      <c r="G342" t="s">
        <v>1596</v>
      </c>
      <c r="H342" s="4">
        <v>45812</v>
      </c>
      <c r="I342" t="s">
        <v>1966</v>
      </c>
    </row>
    <row r="343" spans="1:9" x14ac:dyDescent="0.25">
      <c r="A343" t="s">
        <v>1246</v>
      </c>
      <c r="B343" t="s">
        <v>1330</v>
      </c>
      <c r="C343" s="3">
        <v>150</v>
      </c>
      <c r="D343" t="s">
        <v>17</v>
      </c>
      <c r="E343">
        <v>539741</v>
      </c>
      <c r="F343" t="s">
        <v>1562</v>
      </c>
      <c r="H343" s="4">
        <v>45812</v>
      </c>
      <c r="I343" t="s">
        <v>1966</v>
      </c>
    </row>
    <row r="344" spans="1:9" x14ac:dyDescent="0.25">
      <c r="A344" t="s">
        <v>1350</v>
      </c>
      <c r="B344" t="s">
        <v>1330</v>
      </c>
      <c r="C344" s="3">
        <v>160</v>
      </c>
      <c r="D344" t="s">
        <v>17</v>
      </c>
      <c r="E344">
        <v>539742</v>
      </c>
      <c r="F344" t="s">
        <v>1562</v>
      </c>
      <c r="H344" s="4">
        <v>45812</v>
      </c>
      <c r="I344" t="s">
        <v>1966</v>
      </c>
    </row>
    <row r="345" spans="1:9" x14ac:dyDescent="0.25">
      <c r="A345" t="s">
        <v>1349</v>
      </c>
      <c r="B345" t="s">
        <v>1330</v>
      </c>
      <c r="C345" s="3">
        <v>380</v>
      </c>
      <c r="D345" t="s">
        <v>17</v>
      </c>
      <c r="E345">
        <v>539743</v>
      </c>
      <c r="F345" t="s">
        <v>1562</v>
      </c>
      <c r="H345" s="4">
        <v>45812</v>
      </c>
      <c r="I345" t="s">
        <v>1966</v>
      </c>
    </row>
    <row r="346" spans="1:9" x14ac:dyDescent="0.25">
      <c r="A346" t="s">
        <v>1348</v>
      </c>
      <c r="B346" t="s">
        <v>1330</v>
      </c>
      <c r="C346" s="3">
        <v>320</v>
      </c>
      <c r="D346" t="s">
        <v>17</v>
      </c>
      <c r="E346">
        <v>539744</v>
      </c>
      <c r="F346" t="s">
        <v>1562</v>
      </c>
      <c r="H346" s="4">
        <v>45812</v>
      </c>
      <c r="I346" t="s">
        <v>1966</v>
      </c>
    </row>
    <row r="347" spans="1:9" x14ac:dyDescent="0.25">
      <c r="A347" t="s">
        <v>1347</v>
      </c>
      <c r="B347" t="s">
        <v>1330</v>
      </c>
      <c r="C347" s="3">
        <v>210</v>
      </c>
      <c r="D347" t="s">
        <v>17</v>
      </c>
      <c r="E347">
        <v>539745</v>
      </c>
      <c r="F347" t="s">
        <v>1562</v>
      </c>
      <c r="H347" s="4">
        <v>45812</v>
      </c>
      <c r="I347" t="s">
        <v>1966</v>
      </c>
    </row>
    <row r="348" spans="1:9" x14ac:dyDescent="0.25">
      <c r="A348" t="s">
        <v>1346</v>
      </c>
      <c r="B348" t="s">
        <v>1330</v>
      </c>
      <c r="C348" s="3">
        <v>200</v>
      </c>
      <c r="D348" t="s">
        <v>17</v>
      </c>
      <c r="E348">
        <v>539746</v>
      </c>
      <c r="F348" t="s">
        <v>1562</v>
      </c>
      <c r="H348" s="4">
        <v>45812</v>
      </c>
      <c r="I348" t="s">
        <v>1966</v>
      </c>
    </row>
    <row r="349" spans="1:9" x14ac:dyDescent="0.25">
      <c r="A349" t="s">
        <v>1345</v>
      </c>
      <c r="B349" t="s">
        <v>1330</v>
      </c>
      <c r="C349" s="3">
        <v>80</v>
      </c>
      <c r="D349" t="s">
        <v>17</v>
      </c>
      <c r="E349">
        <v>539747</v>
      </c>
      <c r="F349" t="s">
        <v>1562</v>
      </c>
      <c r="H349" s="4">
        <v>45812</v>
      </c>
      <c r="I349" t="s">
        <v>1966</v>
      </c>
    </row>
    <row r="350" spans="1:9" x14ac:dyDescent="0.25">
      <c r="A350" t="s">
        <v>384</v>
      </c>
      <c r="B350" t="s">
        <v>1330</v>
      </c>
      <c r="C350" s="3">
        <v>200</v>
      </c>
      <c r="D350" t="s">
        <v>17</v>
      </c>
      <c r="E350">
        <v>539748</v>
      </c>
      <c r="F350" t="s">
        <v>1562</v>
      </c>
      <c r="H350" s="4">
        <v>45812</v>
      </c>
      <c r="I350" t="s">
        <v>1966</v>
      </c>
    </row>
    <row r="351" spans="1:9" x14ac:dyDescent="0.25">
      <c r="A351" t="s">
        <v>1342</v>
      </c>
      <c r="B351" t="s">
        <v>1330</v>
      </c>
      <c r="C351" s="3">
        <v>500</v>
      </c>
      <c r="D351" t="s">
        <v>17</v>
      </c>
      <c r="E351">
        <v>538285</v>
      </c>
      <c r="F351" t="s">
        <v>1562</v>
      </c>
      <c r="H351" s="4">
        <v>45820</v>
      </c>
      <c r="I351" t="s">
        <v>1966</v>
      </c>
    </row>
    <row r="352" spans="1:9" x14ac:dyDescent="0.25">
      <c r="A352" t="s">
        <v>1271</v>
      </c>
      <c r="B352" t="s">
        <v>1330</v>
      </c>
      <c r="C352" s="3">
        <v>10000</v>
      </c>
      <c r="D352" t="s">
        <v>17</v>
      </c>
      <c r="E352">
        <v>539321</v>
      </c>
      <c r="F352" t="s">
        <v>1562</v>
      </c>
      <c r="G352" t="s">
        <v>1581</v>
      </c>
      <c r="H352" s="4">
        <v>45835</v>
      </c>
      <c r="I352" t="s">
        <v>1966</v>
      </c>
    </row>
    <row r="353" spans="1:9" x14ac:dyDescent="0.25">
      <c r="A353" t="s">
        <v>121</v>
      </c>
      <c r="B353" t="s">
        <v>1330</v>
      </c>
      <c r="C353" s="3">
        <v>380</v>
      </c>
      <c r="D353" t="s">
        <v>17</v>
      </c>
      <c r="E353">
        <v>541187</v>
      </c>
      <c r="F353" t="s">
        <v>1562</v>
      </c>
      <c r="G353" s="5">
        <v>45778</v>
      </c>
      <c r="H353" s="4">
        <v>45882</v>
      </c>
      <c r="I353" t="s">
        <v>1966</v>
      </c>
    </row>
    <row r="354" spans="1:9" x14ac:dyDescent="0.25">
      <c r="A354" t="s">
        <v>1328</v>
      </c>
      <c r="B354" t="s">
        <v>1263</v>
      </c>
      <c r="C354" s="3">
        <v>950</v>
      </c>
      <c r="D354" t="s">
        <v>1994</v>
      </c>
      <c r="E354">
        <v>545579</v>
      </c>
      <c r="F354" t="s">
        <v>1562</v>
      </c>
      <c r="G354" t="s">
        <v>1619</v>
      </c>
      <c r="H354" s="4">
        <v>45996</v>
      </c>
      <c r="I354" t="s">
        <v>1966</v>
      </c>
    </row>
    <row r="355" spans="1:9" x14ac:dyDescent="0.25">
      <c r="A355" t="s">
        <v>2005</v>
      </c>
      <c r="B355" t="s">
        <v>1263</v>
      </c>
      <c r="C355" s="3">
        <v>125</v>
      </c>
      <c r="D355" t="s">
        <v>17</v>
      </c>
      <c r="E355">
        <v>547978</v>
      </c>
      <c r="F355" t="s">
        <v>1562</v>
      </c>
      <c r="H355" s="4">
        <v>46042</v>
      </c>
      <c r="I355" t="s">
        <v>1966</v>
      </c>
    </row>
    <row r="356" spans="1:9" x14ac:dyDescent="0.25">
      <c r="A356" t="s">
        <v>1329</v>
      </c>
      <c r="B356" t="s">
        <v>1263</v>
      </c>
      <c r="C356" s="3">
        <v>1000</v>
      </c>
      <c r="D356" t="s">
        <v>17</v>
      </c>
      <c r="E356">
        <v>547346</v>
      </c>
      <c r="F356" t="s">
        <v>1562</v>
      </c>
      <c r="H356" s="4">
        <v>46043</v>
      </c>
      <c r="I356" t="s">
        <v>1966</v>
      </c>
    </row>
    <row r="357" spans="1:9" x14ac:dyDescent="0.25">
      <c r="A357" t="s">
        <v>1309</v>
      </c>
      <c r="B357" t="s">
        <v>1263</v>
      </c>
      <c r="C357" s="3">
        <v>20000</v>
      </c>
      <c r="D357" t="s">
        <v>17</v>
      </c>
      <c r="E357">
        <v>547951</v>
      </c>
      <c r="F357" t="s">
        <v>1562</v>
      </c>
      <c r="G357" t="s">
        <v>1620</v>
      </c>
      <c r="H357" s="4">
        <v>46049</v>
      </c>
      <c r="I357" t="s">
        <v>1966</v>
      </c>
    </row>
    <row r="358" spans="1:9" x14ac:dyDescent="0.25">
      <c r="A358" t="s">
        <v>1117</v>
      </c>
      <c r="B358" t="s">
        <v>1263</v>
      </c>
      <c r="C358" s="3">
        <v>1500</v>
      </c>
      <c r="D358" t="s">
        <v>17</v>
      </c>
      <c r="E358">
        <v>547956</v>
      </c>
      <c r="F358" t="s">
        <v>1562</v>
      </c>
      <c r="H358" s="4">
        <v>46049</v>
      </c>
      <c r="I358" t="s">
        <v>1966</v>
      </c>
    </row>
    <row r="359" spans="1:9" x14ac:dyDescent="0.25">
      <c r="A359" t="s">
        <v>1308</v>
      </c>
      <c r="B359" t="s">
        <v>1263</v>
      </c>
      <c r="C359" s="3">
        <v>100</v>
      </c>
      <c r="D359" t="s">
        <v>17</v>
      </c>
      <c r="E359">
        <v>547962</v>
      </c>
      <c r="F359" t="s">
        <v>1562</v>
      </c>
      <c r="H359" s="4">
        <v>46051</v>
      </c>
      <c r="I359" t="s">
        <v>1966</v>
      </c>
    </row>
    <row r="360" spans="1:9" x14ac:dyDescent="0.25">
      <c r="A360" t="s">
        <v>1307</v>
      </c>
      <c r="B360" t="s">
        <v>1263</v>
      </c>
      <c r="C360" s="3">
        <v>100</v>
      </c>
      <c r="D360" t="s">
        <v>17</v>
      </c>
      <c r="E360">
        <v>547963</v>
      </c>
      <c r="F360" t="s">
        <v>1562</v>
      </c>
      <c r="H360" s="4">
        <v>46051</v>
      </c>
      <c r="I360" t="s">
        <v>1966</v>
      </c>
    </row>
    <row r="361" spans="1:9" x14ac:dyDescent="0.25">
      <c r="A361" t="s">
        <v>1306</v>
      </c>
      <c r="B361" t="s">
        <v>1263</v>
      </c>
      <c r="C361" s="3">
        <v>100</v>
      </c>
      <c r="D361" t="s">
        <v>17</v>
      </c>
      <c r="E361">
        <v>547964</v>
      </c>
      <c r="F361" t="s">
        <v>1562</v>
      </c>
      <c r="H361" s="4">
        <v>46051</v>
      </c>
      <c r="I361" t="s">
        <v>1966</v>
      </c>
    </row>
    <row r="362" spans="1:9" x14ac:dyDescent="0.25">
      <c r="A362" t="s">
        <v>1305</v>
      </c>
      <c r="B362" t="s">
        <v>1263</v>
      </c>
      <c r="C362" s="3">
        <v>100</v>
      </c>
      <c r="D362" t="s">
        <v>17</v>
      </c>
      <c r="E362">
        <v>547965</v>
      </c>
      <c r="F362" t="s">
        <v>1562</v>
      </c>
      <c r="H362" s="4">
        <v>46051</v>
      </c>
      <c r="I362" t="s">
        <v>1966</v>
      </c>
    </row>
    <row r="363" spans="1:9" x14ac:dyDescent="0.25">
      <c r="A363" t="s">
        <v>1304</v>
      </c>
      <c r="B363" t="s">
        <v>1263</v>
      </c>
      <c r="C363" s="3">
        <v>50</v>
      </c>
      <c r="D363" t="s">
        <v>17</v>
      </c>
      <c r="E363">
        <v>547966</v>
      </c>
      <c r="F363" t="s">
        <v>1562</v>
      </c>
      <c r="H363" s="4">
        <v>46051</v>
      </c>
      <c r="I363" t="s">
        <v>1966</v>
      </c>
    </row>
    <row r="364" spans="1:9" x14ac:dyDescent="0.25">
      <c r="A364" t="s">
        <v>1303</v>
      </c>
      <c r="B364" t="s">
        <v>1263</v>
      </c>
      <c r="C364" s="3">
        <v>100</v>
      </c>
      <c r="D364" t="s">
        <v>17</v>
      </c>
      <c r="E364">
        <v>547967</v>
      </c>
      <c r="F364" t="s">
        <v>1562</v>
      </c>
      <c r="H364" s="4">
        <v>46051</v>
      </c>
      <c r="I364" t="s">
        <v>1966</v>
      </c>
    </row>
    <row r="365" spans="1:9" x14ac:dyDescent="0.25">
      <c r="A365" t="s">
        <v>1302</v>
      </c>
      <c r="B365" t="s">
        <v>1263</v>
      </c>
      <c r="C365" s="3">
        <v>100</v>
      </c>
      <c r="D365" t="s">
        <v>17</v>
      </c>
      <c r="E365">
        <v>547968</v>
      </c>
      <c r="F365" t="s">
        <v>1562</v>
      </c>
      <c r="H365" s="4">
        <v>46051</v>
      </c>
      <c r="I365" t="s">
        <v>1966</v>
      </c>
    </row>
    <row r="366" spans="1:9" x14ac:dyDescent="0.25">
      <c r="A366" t="s">
        <v>1038</v>
      </c>
      <c r="B366" t="s">
        <v>1263</v>
      </c>
      <c r="C366" s="3">
        <v>50</v>
      </c>
      <c r="D366" t="s">
        <v>17</v>
      </c>
      <c r="E366">
        <v>547969</v>
      </c>
      <c r="F366" t="s">
        <v>1562</v>
      </c>
      <c r="H366" s="4">
        <v>46051</v>
      </c>
      <c r="I366" t="s">
        <v>1966</v>
      </c>
    </row>
    <row r="367" spans="1:9" x14ac:dyDescent="0.25">
      <c r="A367" t="s">
        <v>1319</v>
      </c>
      <c r="B367" t="s">
        <v>1263</v>
      </c>
      <c r="C367" s="3">
        <v>250</v>
      </c>
      <c r="D367" t="s">
        <v>17</v>
      </c>
      <c r="E367">
        <v>547979</v>
      </c>
      <c r="F367" t="s">
        <v>1562</v>
      </c>
      <c r="H367" s="4">
        <v>46052</v>
      </c>
      <c r="I367" t="s">
        <v>1966</v>
      </c>
    </row>
    <row r="368" spans="1:9" x14ac:dyDescent="0.25">
      <c r="A368" t="s">
        <v>1318</v>
      </c>
      <c r="B368" t="s">
        <v>1263</v>
      </c>
      <c r="C368" s="3">
        <v>100</v>
      </c>
      <c r="D368" t="s">
        <v>17</v>
      </c>
      <c r="E368">
        <v>547980</v>
      </c>
      <c r="F368" t="s">
        <v>1562</v>
      </c>
      <c r="H368" s="4">
        <v>46052</v>
      </c>
      <c r="I368" t="s">
        <v>1966</v>
      </c>
    </row>
    <row r="369" spans="1:9" x14ac:dyDescent="0.25">
      <c r="A369" t="s">
        <v>1317</v>
      </c>
      <c r="B369" t="s">
        <v>1263</v>
      </c>
      <c r="C369" s="3">
        <v>250</v>
      </c>
      <c r="D369" t="s">
        <v>17</v>
      </c>
      <c r="E369">
        <v>547981</v>
      </c>
      <c r="F369" t="s">
        <v>1562</v>
      </c>
      <c r="H369" s="4">
        <v>46052</v>
      </c>
      <c r="I369" t="s">
        <v>1966</v>
      </c>
    </row>
    <row r="370" spans="1:9" x14ac:dyDescent="0.25">
      <c r="A370" t="s">
        <v>1316</v>
      </c>
      <c r="B370" t="s">
        <v>1263</v>
      </c>
      <c r="C370" s="3">
        <v>100</v>
      </c>
      <c r="D370" t="s">
        <v>17</v>
      </c>
      <c r="E370">
        <v>547982</v>
      </c>
      <c r="F370" t="s">
        <v>1562</v>
      </c>
      <c r="H370" s="4">
        <v>46052</v>
      </c>
      <c r="I370" t="s">
        <v>1966</v>
      </c>
    </row>
    <row r="371" spans="1:9" x14ac:dyDescent="0.25">
      <c r="A371" t="s">
        <v>184</v>
      </c>
      <c r="B371" t="s">
        <v>1263</v>
      </c>
      <c r="C371" s="3">
        <v>1500</v>
      </c>
      <c r="D371" t="s">
        <v>17</v>
      </c>
      <c r="E371">
        <v>547983</v>
      </c>
      <c r="F371" t="s">
        <v>1562</v>
      </c>
      <c r="H371" s="4">
        <v>46052</v>
      </c>
      <c r="I371" t="s">
        <v>1966</v>
      </c>
    </row>
    <row r="372" spans="1:9" x14ac:dyDescent="0.25">
      <c r="A372" t="s">
        <v>1315</v>
      </c>
      <c r="B372" t="s">
        <v>1263</v>
      </c>
      <c r="C372" s="3">
        <v>150</v>
      </c>
      <c r="D372" t="s">
        <v>17</v>
      </c>
      <c r="E372">
        <v>547984</v>
      </c>
      <c r="F372" t="s">
        <v>1562</v>
      </c>
      <c r="H372" s="4">
        <v>46052</v>
      </c>
      <c r="I372" t="s">
        <v>1966</v>
      </c>
    </row>
    <row r="373" spans="1:9" x14ac:dyDescent="0.25">
      <c r="A373" t="s">
        <v>1314</v>
      </c>
      <c r="B373" t="s">
        <v>1263</v>
      </c>
      <c r="C373" s="3">
        <v>50</v>
      </c>
      <c r="D373" t="s">
        <v>17</v>
      </c>
      <c r="E373">
        <v>547985</v>
      </c>
      <c r="F373" t="s">
        <v>1562</v>
      </c>
      <c r="H373" s="4">
        <v>46052</v>
      </c>
      <c r="I373" t="s">
        <v>1966</v>
      </c>
    </row>
    <row r="374" spans="1:9" x14ac:dyDescent="0.25">
      <c r="A374" t="s">
        <v>1313</v>
      </c>
      <c r="B374" t="s">
        <v>1263</v>
      </c>
      <c r="C374" s="3">
        <v>100</v>
      </c>
      <c r="D374" t="s">
        <v>17</v>
      </c>
      <c r="E374">
        <v>547986</v>
      </c>
      <c r="F374" t="s">
        <v>1562</v>
      </c>
      <c r="H374" s="4">
        <v>46052</v>
      </c>
      <c r="I374" t="s">
        <v>1966</v>
      </c>
    </row>
    <row r="375" spans="1:9" x14ac:dyDescent="0.25">
      <c r="A375" t="s">
        <v>1312</v>
      </c>
      <c r="B375" t="s">
        <v>1263</v>
      </c>
      <c r="C375" s="3">
        <v>50</v>
      </c>
      <c r="D375" t="s">
        <v>17</v>
      </c>
      <c r="E375">
        <v>547987</v>
      </c>
      <c r="F375" t="s">
        <v>1562</v>
      </c>
      <c r="H375" s="4">
        <v>46052</v>
      </c>
      <c r="I375" t="s">
        <v>1966</v>
      </c>
    </row>
    <row r="376" spans="1:9" x14ac:dyDescent="0.25">
      <c r="A376" t="s">
        <v>1311</v>
      </c>
      <c r="B376" t="s">
        <v>1263</v>
      </c>
      <c r="C376" s="3">
        <v>100</v>
      </c>
      <c r="D376" t="s">
        <v>17</v>
      </c>
      <c r="E376">
        <v>547988</v>
      </c>
      <c r="F376" t="s">
        <v>1562</v>
      </c>
      <c r="H376" s="4">
        <v>46052</v>
      </c>
      <c r="I376" t="s">
        <v>1966</v>
      </c>
    </row>
    <row r="377" spans="1:9" x14ac:dyDescent="0.25">
      <c r="A377" t="s">
        <v>1310</v>
      </c>
      <c r="B377" t="s">
        <v>1263</v>
      </c>
      <c r="C377" s="3">
        <v>50</v>
      </c>
      <c r="D377" t="s">
        <v>17</v>
      </c>
      <c r="E377">
        <v>547989</v>
      </c>
      <c r="F377" t="s">
        <v>1562</v>
      </c>
      <c r="H377" s="4">
        <v>46052</v>
      </c>
      <c r="I377" t="s">
        <v>1966</v>
      </c>
    </row>
    <row r="378" spans="1:9" x14ac:dyDescent="0.25">
      <c r="A378" t="s">
        <v>1321</v>
      </c>
      <c r="B378" t="s">
        <v>1263</v>
      </c>
      <c r="C378" s="3">
        <v>250</v>
      </c>
      <c r="D378" t="s">
        <v>17</v>
      </c>
      <c r="E378">
        <v>547991</v>
      </c>
      <c r="F378" t="s">
        <v>1562</v>
      </c>
      <c r="H378" s="4">
        <v>46052</v>
      </c>
      <c r="I378" t="s">
        <v>1966</v>
      </c>
    </row>
    <row r="379" spans="1:9" x14ac:dyDescent="0.25">
      <c r="A379" t="s">
        <v>1320</v>
      </c>
      <c r="B379" t="s">
        <v>1263</v>
      </c>
      <c r="C379" s="3">
        <v>200</v>
      </c>
      <c r="D379" t="s">
        <v>17</v>
      </c>
      <c r="E379">
        <v>547992</v>
      </c>
      <c r="F379" t="s">
        <v>1562</v>
      </c>
      <c r="H379" s="4">
        <v>46052</v>
      </c>
      <c r="I379" t="s">
        <v>1966</v>
      </c>
    </row>
    <row r="380" spans="1:9" x14ac:dyDescent="0.25">
      <c r="A380" t="s">
        <v>1301</v>
      </c>
      <c r="B380" t="s">
        <v>1263</v>
      </c>
      <c r="C380" s="3">
        <v>40</v>
      </c>
      <c r="D380" t="s">
        <v>17</v>
      </c>
      <c r="E380">
        <v>548127</v>
      </c>
      <c r="F380" t="s">
        <v>1562</v>
      </c>
      <c r="H380" s="4">
        <v>46056</v>
      </c>
      <c r="I380" t="s">
        <v>1966</v>
      </c>
    </row>
    <row r="381" spans="1:9" x14ac:dyDescent="0.25">
      <c r="A381" t="s">
        <v>1300</v>
      </c>
      <c r="B381" t="s">
        <v>1263</v>
      </c>
      <c r="C381" s="3">
        <v>100</v>
      </c>
      <c r="D381" t="s">
        <v>17</v>
      </c>
      <c r="E381">
        <v>548128</v>
      </c>
      <c r="F381" t="s">
        <v>1562</v>
      </c>
      <c r="H381" s="4">
        <v>46056</v>
      </c>
      <c r="I381" t="s">
        <v>1966</v>
      </c>
    </row>
    <row r="382" spans="1:9" x14ac:dyDescent="0.25">
      <c r="A382" t="s">
        <v>1299</v>
      </c>
      <c r="B382" t="s">
        <v>1263</v>
      </c>
      <c r="C382" s="3">
        <v>300</v>
      </c>
      <c r="D382" t="s">
        <v>17</v>
      </c>
      <c r="E382">
        <v>548129</v>
      </c>
      <c r="F382" t="s">
        <v>1562</v>
      </c>
      <c r="H382" s="4">
        <v>46056</v>
      </c>
      <c r="I382" t="s">
        <v>1966</v>
      </c>
    </row>
    <row r="383" spans="1:9" x14ac:dyDescent="0.25">
      <c r="A383" t="s">
        <v>1298</v>
      </c>
      <c r="B383" t="s">
        <v>1263</v>
      </c>
      <c r="C383" s="3">
        <v>25</v>
      </c>
      <c r="D383" t="s">
        <v>17</v>
      </c>
      <c r="E383">
        <v>548130</v>
      </c>
      <c r="F383" t="s">
        <v>1562</v>
      </c>
      <c r="H383" s="4">
        <v>46056</v>
      </c>
      <c r="I383" t="s">
        <v>1966</v>
      </c>
    </row>
    <row r="384" spans="1:9" x14ac:dyDescent="0.25">
      <c r="A384" t="s">
        <v>1297</v>
      </c>
      <c r="B384" t="s">
        <v>1263</v>
      </c>
      <c r="C384" s="3">
        <v>25</v>
      </c>
      <c r="D384" t="s">
        <v>17</v>
      </c>
      <c r="E384">
        <v>548131</v>
      </c>
      <c r="F384" t="s">
        <v>1562</v>
      </c>
      <c r="H384" s="4">
        <v>46056</v>
      </c>
      <c r="I384" t="s">
        <v>1966</v>
      </c>
    </row>
    <row r="385" spans="1:9" x14ac:dyDescent="0.25">
      <c r="A385" t="s">
        <v>1296</v>
      </c>
      <c r="B385" t="s">
        <v>1263</v>
      </c>
      <c r="C385" s="3">
        <v>50</v>
      </c>
      <c r="D385" t="s">
        <v>17</v>
      </c>
      <c r="E385">
        <v>548132</v>
      </c>
      <c r="F385" t="s">
        <v>1562</v>
      </c>
      <c r="H385" s="4">
        <v>46056</v>
      </c>
      <c r="I385" t="s">
        <v>1966</v>
      </c>
    </row>
    <row r="386" spans="1:9" x14ac:dyDescent="0.25">
      <c r="A386" t="s">
        <v>1295</v>
      </c>
      <c r="B386" t="s">
        <v>1263</v>
      </c>
      <c r="C386" s="3">
        <v>50</v>
      </c>
      <c r="D386" t="s">
        <v>17</v>
      </c>
      <c r="E386">
        <v>548133</v>
      </c>
      <c r="F386" t="s">
        <v>1562</v>
      </c>
      <c r="H386" s="4">
        <v>46056</v>
      </c>
      <c r="I386" t="s">
        <v>1966</v>
      </c>
    </row>
    <row r="387" spans="1:9" x14ac:dyDescent="0.25">
      <c r="A387" t="s">
        <v>1203</v>
      </c>
      <c r="B387" t="s">
        <v>1263</v>
      </c>
      <c r="C387" s="3">
        <v>50</v>
      </c>
      <c r="D387" t="s">
        <v>17</v>
      </c>
      <c r="E387">
        <v>548134</v>
      </c>
      <c r="F387" t="s">
        <v>1562</v>
      </c>
      <c r="H387" s="4">
        <v>46056</v>
      </c>
      <c r="I387" t="s">
        <v>1966</v>
      </c>
    </row>
    <row r="388" spans="1:9" x14ac:dyDescent="0.25">
      <c r="A388" t="s">
        <v>1294</v>
      </c>
      <c r="B388" t="s">
        <v>1263</v>
      </c>
      <c r="C388" s="3">
        <v>50</v>
      </c>
      <c r="D388" t="s">
        <v>17</v>
      </c>
      <c r="E388">
        <v>548136</v>
      </c>
      <c r="F388" t="s">
        <v>1562</v>
      </c>
      <c r="H388" s="4">
        <v>46056</v>
      </c>
      <c r="I388" t="s">
        <v>1966</v>
      </c>
    </row>
    <row r="389" spans="1:9" x14ac:dyDescent="0.25">
      <c r="A389" t="s">
        <v>1293</v>
      </c>
      <c r="B389" t="s">
        <v>1263</v>
      </c>
      <c r="C389" s="3">
        <v>100</v>
      </c>
      <c r="D389" t="s">
        <v>17</v>
      </c>
      <c r="E389">
        <v>548142</v>
      </c>
      <c r="F389" t="s">
        <v>1562</v>
      </c>
      <c r="H389" s="4">
        <v>46056</v>
      </c>
      <c r="I389" t="s">
        <v>1966</v>
      </c>
    </row>
    <row r="390" spans="1:9" x14ac:dyDescent="0.25">
      <c r="A390" t="s">
        <v>1292</v>
      </c>
      <c r="B390" t="s">
        <v>1263</v>
      </c>
      <c r="C390" s="3">
        <v>100</v>
      </c>
      <c r="D390" t="s">
        <v>17</v>
      </c>
      <c r="E390">
        <v>548143</v>
      </c>
      <c r="F390" t="s">
        <v>1562</v>
      </c>
      <c r="H390" s="4">
        <v>46056</v>
      </c>
      <c r="I390" t="s">
        <v>1966</v>
      </c>
    </row>
    <row r="391" spans="1:9" x14ac:dyDescent="0.25">
      <c r="A391" t="s">
        <v>1291</v>
      </c>
      <c r="B391" t="s">
        <v>1263</v>
      </c>
      <c r="C391" s="3">
        <v>100</v>
      </c>
      <c r="D391" t="s">
        <v>17</v>
      </c>
      <c r="E391">
        <v>548144</v>
      </c>
      <c r="F391" t="s">
        <v>1562</v>
      </c>
      <c r="H391" s="4">
        <v>46056</v>
      </c>
      <c r="I391" t="s">
        <v>1966</v>
      </c>
    </row>
    <row r="392" spans="1:9" x14ac:dyDescent="0.25">
      <c r="A392" t="s">
        <v>1290</v>
      </c>
      <c r="B392" t="s">
        <v>1263</v>
      </c>
      <c r="C392" s="3">
        <v>100</v>
      </c>
      <c r="D392" t="s">
        <v>17</v>
      </c>
      <c r="E392">
        <v>548145</v>
      </c>
      <c r="F392" t="s">
        <v>1562</v>
      </c>
      <c r="H392" s="4">
        <v>46056</v>
      </c>
      <c r="I392" t="s">
        <v>1966</v>
      </c>
    </row>
    <row r="393" spans="1:9" x14ac:dyDescent="0.25">
      <c r="A393" t="s">
        <v>1289</v>
      </c>
      <c r="B393" t="s">
        <v>1263</v>
      </c>
      <c r="C393" s="3">
        <v>25</v>
      </c>
      <c r="D393" t="s">
        <v>17</v>
      </c>
      <c r="E393">
        <v>548146</v>
      </c>
      <c r="F393" t="s">
        <v>1562</v>
      </c>
      <c r="H393" s="4">
        <v>46056</v>
      </c>
      <c r="I393" t="s">
        <v>1966</v>
      </c>
    </row>
    <row r="394" spans="1:9" x14ac:dyDescent="0.25">
      <c r="A394" t="s">
        <v>1289</v>
      </c>
      <c r="B394" t="s">
        <v>1263</v>
      </c>
      <c r="C394" s="3">
        <v>100</v>
      </c>
      <c r="D394" t="s">
        <v>17</v>
      </c>
      <c r="E394">
        <v>548147</v>
      </c>
      <c r="F394" t="s">
        <v>1562</v>
      </c>
      <c r="H394" s="4">
        <v>46056</v>
      </c>
      <c r="I394" t="s">
        <v>1966</v>
      </c>
    </row>
    <row r="395" spans="1:9" x14ac:dyDescent="0.25">
      <c r="A395" t="s">
        <v>1288</v>
      </c>
      <c r="B395" t="s">
        <v>1263</v>
      </c>
      <c r="C395" s="3">
        <v>100</v>
      </c>
      <c r="D395" t="s">
        <v>17</v>
      </c>
      <c r="E395">
        <v>548148</v>
      </c>
      <c r="F395" t="s">
        <v>1562</v>
      </c>
      <c r="H395" s="4">
        <v>46056</v>
      </c>
      <c r="I395" t="s">
        <v>1966</v>
      </c>
    </row>
    <row r="396" spans="1:9" x14ac:dyDescent="0.25">
      <c r="A396" t="s">
        <v>1275</v>
      </c>
      <c r="B396" t="s">
        <v>1263</v>
      </c>
      <c r="C396" s="3">
        <v>25</v>
      </c>
      <c r="D396" t="s">
        <v>17</v>
      </c>
      <c r="E396">
        <v>548166</v>
      </c>
      <c r="F396" t="s">
        <v>1562</v>
      </c>
      <c r="H396" s="4">
        <v>46058</v>
      </c>
      <c r="I396" t="s">
        <v>1966</v>
      </c>
    </row>
    <row r="397" spans="1:9" x14ac:dyDescent="0.25">
      <c r="A397" t="s">
        <v>1279</v>
      </c>
      <c r="B397" t="s">
        <v>1263</v>
      </c>
      <c r="C397" s="3">
        <v>25</v>
      </c>
      <c r="D397" t="s">
        <v>17</v>
      </c>
      <c r="E397">
        <v>548171</v>
      </c>
      <c r="F397" t="s">
        <v>1562</v>
      </c>
      <c r="H397" s="4">
        <v>46059</v>
      </c>
      <c r="I397" t="s">
        <v>1966</v>
      </c>
    </row>
    <row r="398" spans="1:9" x14ac:dyDescent="0.25">
      <c r="A398" t="s">
        <v>1278</v>
      </c>
      <c r="B398" t="s">
        <v>1263</v>
      </c>
      <c r="C398" s="3">
        <v>125</v>
      </c>
      <c r="D398" t="s">
        <v>17</v>
      </c>
      <c r="E398">
        <v>548172</v>
      </c>
      <c r="F398" t="s">
        <v>1562</v>
      </c>
      <c r="H398" s="4">
        <v>46059</v>
      </c>
      <c r="I398" t="s">
        <v>1966</v>
      </c>
    </row>
    <row r="399" spans="1:9" x14ac:dyDescent="0.25">
      <c r="A399" t="s">
        <v>1079</v>
      </c>
      <c r="B399" t="s">
        <v>1263</v>
      </c>
      <c r="C399" s="3">
        <v>125</v>
      </c>
      <c r="D399" t="s">
        <v>17</v>
      </c>
      <c r="E399">
        <v>548173</v>
      </c>
      <c r="F399" t="s">
        <v>1562</v>
      </c>
      <c r="H399" s="4">
        <v>46059</v>
      </c>
      <c r="I399" t="s">
        <v>1966</v>
      </c>
    </row>
    <row r="400" spans="1:9" x14ac:dyDescent="0.25">
      <c r="A400" t="s">
        <v>1277</v>
      </c>
      <c r="B400" t="s">
        <v>1263</v>
      </c>
      <c r="C400" s="3">
        <v>50</v>
      </c>
      <c r="D400" t="s">
        <v>17</v>
      </c>
      <c r="E400">
        <v>548174</v>
      </c>
      <c r="F400" t="s">
        <v>1562</v>
      </c>
      <c r="H400" s="4">
        <v>46059</v>
      </c>
      <c r="I400" t="s">
        <v>1966</v>
      </c>
    </row>
    <row r="401" spans="1:9" x14ac:dyDescent="0.25">
      <c r="A401" t="s">
        <v>1276</v>
      </c>
      <c r="B401" t="s">
        <v>1263</v>
      </c>
      <c r="C401" s="3">
        <v>25</v>
      </c>
      <c r="D401" t="s">
        <v>17</v>
      </c>
      <c r="E401">
        <v>548175</v>
      </c>
      <c r="F401" t="s">
        <v>1562</v>
      </c>
      <c r="H401" s="4">
        <v>46059</v>
      </c>
      <c r="I401" t="s">
        <v>1966</v>
      </c>
    </row>
    <row r="402" spans="1:9" x14ac:dyDescent="0.25">
      <c r="A402" t="s">
        <v>1287</v>
      </c>
      <c r="B402" t="s">
        <v>1263</v>
      </c>
      <c r="C402" s="3">
        <v>25</v>
      </c>
      <c r="D402" t="s">
        <v>17</v>
      </c>
      <c r="E402">
        <v>548294</v>
      </c>
      <c r="F402" t="s">
        <v>1562</v>
      </c>
      <c r="H402" s="4">
        <v>46063</v>
      </c>
      <c r="I402" t="s">
        <v>1966</v>
      </c>
    </row>
    <row r="403" spans="1:9" x14ac:dyDescent="0.25">
      <c r="A403" t="s">
        <v>1282</v>
      </c>
      <c r="B403" t="s">
        <v>1263</v>
      </c>
      <c r="C403" s="3">
        <v>1200</v>
      </c>
      <c r="D403" t="s">
        <v>17</v>
      </c>
      <c r="E403">
        <v>548301</v>
      </c>
      <c r="F403" t="s">
        <v>1562</v>
      </c>
      <c r="H403" s="4">
        <v>46064</v>
      </c>
      <c r="I403" t="s">
        <v>1966</v>
      </c>
    </row>
    <row r="404" spans="1:9" x14ac:dyDescent="0.25">
      <c r="A404" t="s">
        <v>1286</v>
      </c>
      <c r="B404" t="s">
        <v>1263</v>
      </c>
      <c r="C404" s="3">
        <v>25</v>
      </c>
      <c r="D404" t="s">
        <v>17</v>
      </c>
      <c r="E404">
        <v>548296</v>
      </c>
      <c r="F404" t="s">
        <v>1562</v>
      </c>
      <c r="H404" s="4">
        <v>46064</v>
      </c>
      <c r="I404" t="s">
        <v>1966</v>
      </c>
    </row>
    <row r="405" spans="1:9" x14ac:dyDescent="0.25">
      <c r="A405" t="s">
        <v>1285</v>
      </c>
      <c r="B405" t="s">
        <v>1263</v>
      </c>
      <c r="C405" s="3">
        <v>250</v>
      </c>
      <c r="D405" t="s">
        <v>17</v>
      </c>
      <c r="E405">
        <v>548297</v>
      </c>
      <c r="F405" t="s">
        <v>1562</v>
      </c>
      <c r="H405" s="4">
        <v>46064</v>
      </c>
      <c r="I405" t="s">
        <v>1966</v>
      </c>
    </row>
    <row r="406" spans="1:9" x14ac:dyDescent="0.25">
      <c r="A406" t="s">
        <v>1284</v>
      </c>
      <c r="B406" t="s">
        <v>1263</v>
      </c>
      <c r="C406" s="3">
        <v>250</v>
      </c>
      <c r="D406" t="s">
        <v>17</v>
      </c>
      <c r="E406">
        <v>548308</v>
      </c>
      <c r="F406" t="s">
        <v>1562</v>
      </c>
      <c r="H406" s="4">
        <v>46065</v>
      </c>
      <c r="I406" t="s">
        <v>1966</v>
      </c>
    </row>
    <row r="407" spans="1:9" x14ac:dyDescent="0.25">
      <c r="A407" t="s">
        <v>1281</v>
      </c>
      <c r="B407" t="s">
        <v>1263</v>
      </c>
      <c r="C407" s="3">
        <v>100</v>
      </c>
      <c r="D407" t="s">
        <v>17</v>
      </c>
      <c r="E407">
        <v>548302</v>
      </c>
      <c r="F407" t="s">
        <v>1562</v>
      </c>
      <c r="H407" s="4">
        <v>46065</v>
      </c>
      <c r="I407" t="s">
        <v>1966</v>
      </c>
    </row>
    <row r="408" spans="1:9" x14ac:dyDescent="0.25">
      <c r="A408" t="s">
        <v>942</v>
      </c>
      <c r="B408" t="s">
        <v>1263</v>
      </c>
      <c r="C408" s="3">
        <v>20</v>
      </c>
      <c r="D408" t="s">
        <v>17</v>
      </c>
      <c r="E408">
        <v>548303</v>
      </c>
      <c r="F408" t="s">
        <v>1562</v>
      </c>
      <c r="H408" s="4">
        <v>46065</v>
      </c>
      <c r="I408" t="s">
        <v>1966</v>
      </c>
    </row>
    <row r="409" spans="1:9" x14ac:dyDescent="0.25">
      <c r="A409" t="s">
        <v>1280</v>
      </c>
      <c r="B409" t="s">
        <v>1263</v>
      </c>
      <c r="C409" s="3">
        <v>50</v>
      </c>
      <c r="D409" t="s">
        <v>17</v>
      </c>
      <c r="E409">
        <v>548304</v>
      </c>
      <c r="F409" t="s">
        <v>1562</v>
      </c>
      <c r="H409" s="4">
        <v>46065</v>
      </c>
      <c r="I409" t="s">
        <v>1966</v>
      </c>
    </row>
    <row r="410" spans="1:9" x14ac:dyDescent="0.25">
      <c r="A410" t="s">
        <v>1062</v>
      </c>
      <c r="B410" t="s">
        <v>1263</v>
      </c>
      <c r="C410" s="3">
        <v>300</v>
      </c>
      <c r="D410" t="s">
        <v>17</v>
      </c>
      <c r="E410">
        <v>548305</v>
      </c>
      <c r="F410" t="s">
        <v>1562</v>
      </c>
      <c r="H410" s="4">
        <v>46065</v>
      </c>
      <c r="I410" t="s">
        <v>1966</v>
      </c>
    </row>
    <row r="411" spans="1:9" x14ac:dyDescent="0.25">
      <c r="A411" t="s">
        <v>1283</v>
      </c>
      <c r="B411" t="s">
        <v>1263</v>
      </c>
      <c r="C411" s="3">
        <v>450</v>
      </c>
      <c r="D411" t="s">
        <v>17</v>
      </c>
      <c r="E411">
        <v>548309</v>
      </c>
      <c r="F411" t="s">
        <v>1562</v>
      </c>
      <c r="H411" s="4">
        <v>46066</v>
      </c>
      <c r="I411" t="s">
        <v>1966</v>
      </c>
    </row>
    <row r="412" spans="1:9" x14ac:dyDescent="0.25">
      <c r="A412" t="s">
        <v>1325</v>
      </c>
      <c r="B412" t="s">
        <v>1263</v>
      </c>
      <c r="C412" s="3">
        <v>50</v>
      </c>
      <c r="D412" t="s">
        <v>17</v>
      </c>
      <c r="E412">
        <v>548430</v>
      </c>
      <c r="F412" t="s">
        <v>1562</v>
      </c>
      <c r="H412" s="4">
        <v>46069</v>
      </c>
      <c r="I412" t="s">
        <v>1966</v>
      </c>
    </row>
    <row r="413" spans="1:9" x14ac:dyDescent="0.25">
      <c r="A413" t="s">
        <v>1327</v>
      </c>
      <c r="B413" t="s">
        <v>1263</v>
      </c>
      <c r="C413" s="3">
        <v>50</v>
      </c>
      <c r="D413" t="s">
        <v>17</v>
      </c>
      <c r="E413">
        <v>548428</v>
      </c>
      <c r="F413" t="s">
        <v>1562</v>
      </c>
      <c r="H413" s="4">
        <v>46070</v>
      </c>
      <c r="I413" t="s">
        <v>1966</v>
      </c>
    </row>
    <row r="414" spans="1:9" x14ac:dyDescent="0.25">
      <c r="A414" t="s">
        <v>1326</v>
      </c>
      <c r="B414" t="s">
        <v>1263</v>
      </c>
      <c r="C414" s="3">
        <v>25</v>
      </c>
      <c r="D414" t="s">
        <v>17</v>
      </c>
      <c r="E414">
        <v>548429</v>
      </c>
      <c r="F414" t="s">
        <v>1562</v>
      </c>
      <c r="H414" s="4">
        <v>46070</v>
      </c>
      <c r="I414" t="s">
        <v>1966</v>
      </c>
    </row>
    <row r="415" spans="1:9" x14ac:dyDescent="0.25">
      <c r="A415" t="s">
        <v>1322</v>
      </c>
      <c r="B415" t="s">
        <v>1263</v>
      </c>
      <c r="C415" s="3">
        <v>50</v>
      </c>
      <c r="D415" t="s">
        <v>17</v>
      </c>
      <c r="E415">
        <v>548433</v>
      </c>
      <c r="F415" t="s">
        <v>1562</v>
      </c>
      <c r="H415" s="4">
        <v>46073</v>
      </c>
      <c r="I415" t="s">
        <v>1966</v>
      </c>
    </row>
    <row r="416" spans="1:9" x14ac:dyDescent="0.25">
      <c r="A416" t="s">
        <v>1324</v>
      </c>
      <c r="B416" t="s">
        <v>1263</v>
      </c>
      <c r="C416" s="3">
        <v>300</v>
      </c>
      <c r="D416" t="s">
        <v>17</v>
      </c>
      <c r="E416">
        <v>548435</v>
      </c>
      <c r="F416" t="s">
        <v>1562</v>
      </c>
      <c r="H416" s="4">
        <v>46076</v>
      </c>
      <c r="I416" t="s">
        <v>1966</v>
      </c>
    </row>
    <row r="417" spans="1:9" x14ac:dyDescent="0.25">
      <c r="A417" t="s">
        <v>1323</v>
      </c>
      <c r="B417" t="s">
        <v>1263</v>
      </c>
      <c r="C417" s="3">
        <v>50</v>
      </c>
      <c r="D417" t="s">
        <v>17</v>
      </c>
      <c r="E417">
        <v>548436</v>
      </c>
      <c r="F417" t="s">
        <v>1562</v>
      </c>
      <c r="H417" s="4">
        <v>46076</v>
      </c>
      <c r="I417" t="s">
        <v>1966</v>
      </c>
    </row>
    <row r="418" spans="1:9" x14ac:dyDescent="0.25">
      <c r="A418" t="s">
        <v>1273</v>
      </c>
      <c r="B418" t="s">
        <v>1263</v>
      </c>
      <c r="C418" s="3">
        <v>25</v>
      </c>
      <c r="D418" t="s">
        <v>17</v>
      </c>
      <c r="E418">
        <v>549149</v>
      </c>
      <c r="F418" t="s">
        <v>1562</v>
      </c>
      <c r="H418" s="4">
        <v>46078</v>
      </c>
      <c r="I418" t="s">
        <v>1966</v>
      </c>
    </row>
    <row r="419" spans="1:9" x14ac:dyDescent="0.25">
      <c r="A419" t="s">
        <v>1272</v>
      </c>
      <c r="B419" t="s">
        <v>1263</v>
      </c>
      <c r="C419" s="3">
        <v>50</v>
      </c>
      <c r="D419" t="s">
        <v>17</v>
      </c>
      <c r="E419">
        <v>549150</v>
      </c>
      <c r="F419" t="s">
        <v>1562</v>
      </c>
      <c r="H419" s="4">
        <v>46078</v>
      </c>
      <c r="I419" t="s">
        <v>1966</v>
      </c>
    </row>
    <row r="420" spans="1:9" x14ac:dyDescent="0.25">
      <c r="A420" t="s">
        <v>1268</v>
      </c>
      <c r="B420" t="s">
        <v>1263</v>
      </c>
      <c r="C420" s="3">
        <v>50</v>
      </c>
      <c r="D420" t="s">
        <v>17</v>
      </c>
      <c r="E420">
        <v>549169</v>
      </c>
      <c r="F420" t="s">
        <v>1562</v>
      </c>
      <c r="H420" s="4">
        <v>46078</v>
      </c>
      <c r="I420" t="s">
        <v>1966</v>
      </c>
    </row>
    <row r="421" spans="1:9" x14ac:dyDescent="0.25">
      <c r="A421" t="s">
        <v>1270</v>
      </c>
      <c r="B421" t="s">
        <v>1263</v>
      </c>
      <c r="C421" s="3">
        <v>25</v>
      </c>
      <c r="D421" t="s">
        <v>17</v>
      </c>
      <c r="E421">
        <v>549172</v>
      </c>
      <c r="F421" t="s">
        <v>1562</v>
      </c>
      <c r="H421" s="4">
        <v>46078</v>
      </c>
      <c r="I421" t="s">
        <v>1966</v>
      </c>
    </row>
    <row r="422" spans="1:9" x14ac:dyDescent="0.25">
      <c r="A422" t="s">
        <v>1267</v>
      </c>
      <c r="B422" t="s">
        <v>1263</v>
      </c>
      <c r="C422" s="3">
        <v>500</v>
      </c>
      <c r="D422" t="s">
        <v>17</v>
      </c>
      <c r="E422">
        <v>549153</v>
      </c>
      <c r="F422" t="s">
        <v>1562</v>
      </c>
      <c r="H422" s="4">
        <v>46078</v>
      </c>
      <c r="I422" t="s">
        <v>1966</v>
      </c>
    </row>
    <row r="423" spans="1:9" x14ac:dyDescent="0.25">
      <c r="A423" t="s">
        <v>1266</v>
      </c>
      <c r="B423" t="s">
        <v>1263</v>
      </c>
      <c r="C423" s="3">
        <v>100</v>
      </c>
      <c r="D423" t="s">
        <v>17</v>
      </c>
      <c r="E423">
        <v>549154</v>
      </c>
      <c r="F423" t="s">
        <v>1562</v>
      </c>
      <c r="H423" s="4">
        <v>46078</v>
      </c>
      <c r="I423" t="s">
        <v>1966</v>
      </c>
    </row>
    <row r="424" spans="1:9" x14ac:dyDescent="0.25">
      <c r="A424" t="s">
        <v>1265</v>
      </c>
      <c r="B424" t="s">
        <v>1263</v>
      </c>
      <c r="C424" s="3">
        <v>50</v>
      </c>
      <c r="D424" t="s">
        <v>17</v>
      </c>
      <c r="E424">
        <v>549155</v>
      </c>
      <c r="F424" t="s">
        <v>1562</v>
      </c>
      <c r="H424" s="4">
        <v>46078</v>
      </c>
      <c r="I424" t="s">
        <v>1966</v>
      </c>
    </row>
    <row r="425" spans="1:9" x14ac:dyDescent="0.25">
      <c r="A425" t="s">
        <v>1264</v>
      </c>
      <c r="B425" t="s">
        <v>1263</v>
      </c>
      <c r="C425" s="3">
        <v>100</v>
      </c>
      <c r="D425" t="s">
        <v>17</v>
      </c>
      <c r="E425">
        <v>549156</v>
      </c>
      <c r="F425" t="s">
        <v>1562</v>
      </c>
      <c r="H425" s="4">
        <v>46078</v>
      </c>
      <c r="I425" t="s">
        <v>1966</v>
      </c>
    </row>
    <row r="426" spans="1:9" x14ac:dyDescent="0.25">
      <c r="A426" t="s">
        <v>1269</v>
      </c>
      <c r="B426" t="s">
        <v>1263</v>
      </c>
      <c r="C426" s="3">
        <v>250</v>
      </c>
      <c r="D426" t="s">
        <v>17</v>
      </c>
      <c r="E426">
        <v>549147</v>
      </c>
      <c r="F426" t="s">
        <v>1562</v>
      </c>
      <c r="H426" s="4">
        <v>46078</v>
      </c>
      <c r="I426" t="s">
        <v>1966</v>
      </c>
    </row>
    <row r="427" spans="1:9" x14ac:dyDescent="0.25">
      <c r="A427" t="s">
        <v>1274</v>
      </c>
      <c r="B427" t="s">
        <v>1263</v>
      </c>
      <c r="C427" s="3">
        <v>50</v>
      </c>
      <c r="D427" t="s">
        <v>17</v>
      </c>
      <c r="E427">
        <v>549180</v>
      </c>
      <c r="F427" t="s">
        <v>1562</v>
      </c>
      <c r="H427" s="4">
        <v>46080</v>
      </c>
      <c r="I427" t="s">
        <v>1966</v>
      </c>
    </row>
    <row r="428" spans="1:9" x14ac:dyDescent="0.25">
      <c r="A428" t="s">
        <v>1271</v>
      </c>
      <c r="B428" t="s">
        <v>1263</v>
      </c>
      <c r="C428" s="3">
        <v>10000</v>
      </c>
      <c r="D428" t="s">
        <v>17</v>
      </c>
      <c r="E428">
        <v>549144</v>
      </c>
      <c r="F428" t="s">
        <v>1562</v>
      </c>
      <c r="G428" t="s">
        <v>1621</v>
      </c>
      <c r="H428" s="4">
        <v>46083</v>
      </c>
      <c r="I428" t="s">
        <v>1966</v>
      </c>
    </row>
    <row r="429" spans="1:9" x14ac:dyDescent="0.25">
      <c r="A429" t="s">
        <v>1622</v>
      </c>
      <c r="B429" t="s">
        <v>1263</v>
      </c>
      <c r="C429" s="3">
        <v>50</v>
      </c>
      <c r="D429" t="s">
        <v>17</v>
      </c>
      <c r="E429">
        <v>549305</v>
      </c>
      <c r="F429" t="s">
        <v>1562</v>
      </c>
      <c r="H429" s="4">
        <v>46084</v>
      </c>
      <c r="I429" t="s">
        <v>1966</v>
      </c>
    </row>
    <row r="430" spans="1:9" x14ac:dyDescent="0.25">
      <c r="A430" t="s">
        <v>1037</v>
      </c>
      <c r="B430" t="s">
        <v>1263</v>
      </c>
      <c r="C430" s="3">
        <v>125</v>
      </c>
      <c r="D430" t="s">
        <v>17</v>
      </c>
      <c r="E430">
        <v>549306</v>
      </c>
      <c r="F430" t="s">
        <v>1562</v>
      </c>
      <c r="H430" s="4">
        <v>46084</v>
      </c>
      <c r="I430" t="s">
        <v>1966</v>
      </c>
    </row>
    <row r="431" spans="1:9" x14ac:dyDescent="0.25">
      <c r="A431" t="s">
        <v>1623</v>
      </c>
      <c r="B431" t="s">
        <v>1263</v>
      </c>
      <c r="C431" s="3">
        <v>100</v>
      </c>
      <c r="D431" t="s">
        <v>17</v>
      </c>
      <c r="E431">
        <v>549315</v>
      </c>
      <c r="F431" t="s">
        <v>1562</v>
      </c>
      <c r="H431" s="4">
        <v>46090</v>
      </c>
      <c r="I431" t="s">
        <v>1966</v>
      </c>
    </row>
    <row r="432" spans="1:9" x14ac:dyDescent="0.25">
      <c r="A432" t="s">
        <v>126</v>
      </c>
      <c r="B432" t="s">
        <v>1263</v>
      </c>
      <c r="C432" s="3">
        <v>25</v>
      </c>
      <c r="D432" t="s">
        <v>17</v>
      </c>
      <c r="E432">
        <v>549404</v>
      </c>
      <c r="F432" t="s">
        <v>1562</v>
      </c>
      <c r="H432" s="4">
        <v>46092</v>
      </c>
      <c r="I432" t="s">
        <v>1966</v>
      </c>
    </row>
    <row r="433" spans="1:9" x14ac:dyDescent="0.25">
      <c r="A433" t="s">
        <v>2006</v>
      </c>
      <c r="B433" t="s">
        <v>1263</v>
      </c>
      <c r="C433" s="3">
        <v>50</v>
      </c>
      <c r="D433" t="s">
        <v>17</v>
      </c>
      <c r="E433">
        <v>549414</v>
      </c>
      <c r="F433" t="s">
        <v>1562</v>
      </c>
      <c r="H433" s="4">
        <v>46093</v>
      </c>
      <c r="I433" t="s">
        <v>1966</v>
      </c>
    </row>
    <row r="434" spans="1:9" x14ac:dyDescent="0.25">
      <c r="A434" t="s">
        <v>2007</v>
      </c>
      <c r="B434" t="s">
        <v>1263</v>
      </c>
      <c r="C434" s="3">
        <v>500</v>
      </c>
      <c r="D434" t="s">
        <v>17</v>
      </c>
      <c r="E434">
        <v>549415</v>
      </c>
      <c r="F434" t="s">
        <v>1562</v>
      </c>
      <c r="H434" s="4">
        <v>46094</v>
      </c>
      <c r="I434" t="s">
        <v>1966</v>
      </c>
    </row>
    <row r="435" spans="1:9" x14ac:dyDescent="0.25">
      <c r="A435" t="s">
        <v>2008</v>
      </c>
      <c r="B435" t="s">
        <v>1263</v>
      </c>
      <c r="C435" s="3">
        <v>250</v>
      </c>
      <c r="D435" t="s">
        <v>17</v>
      </c>
      <c r="E435">
        <v>549416</v>
      </c>
      <c r="F435" t="s">
        <v>1562</v>
      </c>
      <c r="H435" s="4">
        <v>46094</v>
      </c>
      <c r="I435" t="s">
        <v>1966</v>
      </c>
    </row>
    <row r="436" spans="1:9" x14ac:dyDescent="0.25">
      <c r="A436" t="s">
        <v>2009</v>
      </c>
      <c r="B436" t="s">
        <v>1263</v>
      </c>
      <c r="C436" s="3">
        <v>100</v>
      </c>
      <c r="D436" t="s">
        <v>17</v>
      </c>
      <c r="E436">
        <v>549494</v>
      </c>
      <c r="F436" t="s">
        <v>1562</v>
      </c>
      <c r="H436" s="4">
        <v>46098</v>
      </c>
      <c r="I436" t="s">
        <v>1966</v>
      </c>
    </row>
    <row r="437" spans="1:9" x14ac:dyDescent="0.25">
      <c r="A437" t="s">
        <v>2010</v>
      </c>
      <c r="B437" t="s">
        <v>1263</v>
      </c>
      <c r="C437" s="3">
        <v>50</v>
      </c>
      <c r="D437" t="s">
        <v>17</v>
      </c>
      <c r="E437">
        <v>549495</v>
      </c>
      <c r="F437" t="s">
        <v>1562</v>
      </c>
      <c r="H437" s="4">
        <v>46098</v>
      </c>
      <c r="I437" t="s">
        <v>1966</v>
      </c>
    </row>
    <row r="438" spans="1:9" x14ac:dyDescent="0.25">
      <c r="A438" t="s">
        <v>2011</v>
      </c>
      <c r="B438" t="s">
        <v>1263</v>
      </c>
      <c r="C438" s="3">
        <v>150</v>
      </c>
      <c r="D438" t="s">
        <v>17</v>
      </c>
      <c r="E438">
        <v>549496</v>
      </c>
      <c r="F438" t="s">
        <v>1562</v>
      </c>
      <c r="H438" s="4">
        <v>46098</v>
      </c>
      <c r="I438" t="s">
        <v>1966</v>
      </c>
    </row>
    <row r="439" spans="1:9" x14ac:dyDescent="0.25">
      <c r="A439" t="s">
        <v>2012</v>
      </c>
      <c r="B439" t="s">
        <v>1263</v>
      </c>
      <c r="C439" s="3">
        <v>25</v>
      </c>
      <c r="D439" t="s">
        <v>17</v>
      </c>
      <c r="E439">
        <v>549497</v>
      </c>
      <c r="F439" t="s">
        <v>1562</v>
      </c>
      <c r="H439" s="4">
        <v>46098</v>
      </c>
      <c r="I439" t="s">
        <v>1966</v>
      </c>
    </row>
    <row r="440" spans="1:9" x14ac:dyDescent="0.25">
      <c r="A440" t="s">
        <v>1086</v>
      </c>
      <c r="B440" t="s">
        <v>1263</v>
      </c>
      <c r="C440" s="3">
        <v>1125</v>
      </c>
      <c r="D440" t="s">
        <v>17</v>
      </c>
      <c r="E440">
        <v>549498</v>
      </c>
      <c r="F440" t="s">
        <v>1562</v>
      </c>
      <c r="H440" s="4">
        <v>46098</v>
      </c>
      <c r="I440" t="s">
        <v>1966</v>
      </c>
    </row>
    <row r="441" spans="1:9" x14ac:dyDescent="0.25">
      <c r="A441" t="s">
        <v>2013</v>
      </c>
      <c r="B441" t="s">
        <v>1263</v>
      </c>
      <c r="C441" s="3">
        <v>25</v>
      </c>
      <c r="D441" t="s">
        <v>17</v>
      </c>
      <c r="E441">
        <v>549499</v>
      </c>
      <c r="F441" t="s">
        <v>1562</v>
      </c>
      <c r="H441" s="4">
        <v>46098</v>
      </c>
      <c r="I441" t="s">
        <v>1966</v>
      </c>
    </row>
    <row r="442" spans="1:9" x14ac:dyDescent="0.25">
      <c r="A442" t="s">
        <v>2014</v>
      </c>
      <c r="B442" t="s">
        <v>1263</v>
      </c>
      <c r="C442" s="3">
        <v>25</v>
      </c>
      <c r="D442" t="s">
        <v>17</v>
      </c>
      <c r="E442">
        <v>549500</v>
      </c>
      <c r="F442" t="s">
        <v>1562</v>
      </c>
      <c r="H442" s="4">
        <v>46098</v>
      </c>
      <c r="I442" t="s">
        <v>1966</v>
      </c>
    </row>
    <row r="443" spans="1:9" x14ac:dyDescent="0.25">
      <c r="A443" t="s">
        <v>1308</v>
      </c>
      <c r="B443" t="s">
        <v>1263</v>
      </c>
      <c r="C443" s="3">
        <v>1250</v>
      </c>
      <c r="D443" t="s">
        <v>17</v>
      </c>
      <c r="E443">
        <v>549501</v>
      </c>
      <c r="F443" t="s">
        <v>1562</v>
      </c>
      <c r="H443" s="4">
        <v>46098</v>
      </c>
      <c r="I443" t="s">
        <v>1966</v>
      </c>
    </row>
    <row r="444" spans="1:9" x14ac:dyDescent="0.25">
      <c r="A444" t="s">
        <v>2015</v>
      </c>
      <c r="B444" t="s">
        <v>1263</v>
      </c>
      <c r="C444" s="3">
        <v>25</v>
      </c>
      <c r="D444" t="s">
        <v>17</v>
      </c>
      <c r="E444">
        <v>549502</v>
      </c>
      <c r="F444" t="s">
        <v>1562</v>
      </c>
      <c r="H444" s="4">
        <v>46099</v>
      </c>
      <c r="I444" t="s">
        <v>1966</v>
      </c>
    </row>
    <row r="445" spans="1:9" x14ac:dyDescent="0.25">
      <c r="A445" t="s">
        <v>2016</v>
      </c>
      <c r="B445" t="s">
        <v>1263</v>
      </c>
      <c r="C445" s="3">
        <v>250</v>
      </c>
      <c r="D445" t="s">
        <v>17</v>
      </c>
      <c r="E445">
        <v>549503</v>
      </c>
      <c r="F445" t="s">
        <v>1562</v>
      </c>
      <c r="H445" s="4">
        <v>46099</v>
      </c>
      <c r="I445" t="s">
        <v>1966</v>
      </c>
    </row>
    <row r="446" spans="1:9" x14ac:dyDescent="0.25">
      <c r="A446" t="s">
        <v>2017</v>
      </c>
      <c r="B446" t="s">
        <v>1263</v>
      </c>
      <c r="C446" s="3">
        <v>50</v>
      </c>
      <c r="D446" t="s">
        <v>17</v>
      </c>
      <c r="E446">
        <v>549504</v>
      </c>
      <c r="F446" t="s">
        <v>1562</v>
      </c>
      <c r="H446" s="4">
        <v>46099</v>
      </c>
      <c r="I446" t="s">
        <v>1966</v>
      </c>
    </row>
    <row r="447" spans="1:9" x14ac:dyDescent="0.25">
      <c r="A447" t="s">
        <v>2018</v>
      </c>
      <c r="B447" t="s">
        <v>1263</v>
      </c>
      <c r="C447" s="3">
        <v>100</v>
      </c>
      <c r="D447" t="s">
        <v>17</v>
      </c>
      <c r="E447">
        <v>549505</v>
      </c>
      <c r="F447" t="s">
        <v>1562</v>
      </c>
      <c r="H447" s="4">
        <v>46099</v>
      </c>
      <c r="I447" t="s">
        <v>1966</v>
      </c>
    </row>
    <row r="448" spans="1:9" x14ac:dyDescent="0.25">
      <c r="A448" t="s">
        <v>2019</v>
      </c>
      <c r="B448" t="s">
        <v>1263</v>
      </c>
      <c r="C448" s="3">
        <v>50</v>
      </c>
      <c r="D448" t="s">
        <v>17</v>
      </c>
      <c r="E448">
        <v>549506</v>
      </c>
      <c r="F448" t="s">
        <v>1562</v>
      </c>
      <c r="H448" s="4">
        <v>46099</v>
      </c>
      <c r="I448" t="s">
        <v>1966</v>
      </c>
    </row>
    <row r="449" spans="1:9" x14ac:dyDescent="0.25">
      <c r="A449" t="s">
        <v>1308</v>
      </c>
      <c r="B449" t="s">
        <v>1263</v>
      </c>
      <c r="C449" s="3">
        <v>100</v>
      </c>
      <c r="D449" t="s">
        <v>17</v>
      </c>
      <c r="E449">
        <v>549507</v>
      </c>
      <c r="F449" t="s">
        <v>1562</v>
      </c>
      <c r="H449" s="4">
        <v>46099</v>
      </c>
      <c r="I449" t="s">
        <v>1966</v>
      </c>
    </row>
    <row r="450" spans="1:9" x14ac:dyDescent="0.25">
      <c r="A450" t="s">
        <v>2020</v>
      </c>
      <c r="B450" t="s">
        <v>1263</v>
      </c>
      <c r="C450" s="3">
        <v>125</v>
      </c>
      <c r="D450" t="s">
        <v>17</v>
      </c>
      <c r="E450">
        <v>549508</v>
      </c>
      <c r="F450" t="s">
        <v>1562</v>
      </c>
      <c r="H450" s="4">
        <v>46100</v>
      </c>
      <c r="I450" t="s">
        <v>1966</v>
      </c>
    </row>
    <row r="451" spans="1:9" x14ac:dyDescent="0.25">
      <c r="A451" t="s">
        <v>2021</v>
      </c>
      <c r="B451" t="s">
        <v>1263</v>
      </c>
      <c r="C451" s="3">
        <v>100</v>
      </c>
      <c r="D451" t="s">
        <v>17</v>
      </c>
      <c r="E451">
        <v>549509</v>
      </c>
      <c r="F451" t="s">
        <v>1562</v>
      </c>
      <c r="H451" s="4">
        <v>46100</v>
      </c>
      <c r="I451" t="s">
        <v>1966</v>
      </c>
    </row>
    <row r="452" spans="1:9" x14ac:dyDescent="0.25">
      <c r="A452" t="s">
        <v>2022</v>
      </c>
      <c r="B452" t="s">
        <v>1263</v>
      </c>
      <c r="C452" s="3">
        <v>1500</v>
      </c>
      <c r="D452" t="s">
        <v>17</v>
      </c>
      <c r="E452">
        <v>549511</v>
      </c>
      <c r="F452" t="s">
        <v>1562</v>
      </c>
      <c r="H452" s="4">
        <v>46100</v>
      </c>
      <c r="I452" t="s">
        <v>1966</v>
      </c>
    </row>
    <row r="453" spans="1:9" x14ac:dyDescent="0.25">
      <c r="A453" t="s">
        <v>2023</v>
      </c>
      <c r="B453" t="s">
        <v>1263</v>
      </c>
      <c r="C453" s="3">
        <v>125</v>
      </c>
      <c r="D453" t="s">
        <v>17</v>
      </c>
      <c r="E453">
        <v>549513</v>
      </c>
      <c r="F453" t="s">
        <v>1562</v>
      </c>
      <c r="H453" s="4">
        <v>46100</v>
      </c>
      <c r="I453" t="s">
        <v>1966</v>
      </c>
    </row>
    <row r="454" spans="1:9" x14ac:dyDescent="0.25">
      <c r="A454" t="s">
        <v>2024</v>
      </c>
      <c r="B454" t="s">
        <v>1263</v>
      </c>
      <c r="C454" s="3">
        <v>50</v>
      </c>
      <c r="D454" t="s">
        <v>17</v>
      </c>
      <c r="E454">
        <v>549514</v>
      </c>
      <c r="F454" t="s">
        <v>1562</v>
      </c>
      <c r="H454" s="4">
        <v>46100</v>
      </c>
      <c r="I454" t="s">
        <v>1966</v>
      </c>
    </row>
    <row r="455" spans="1:9" x14ac:dyDescent="0.25">
      <c r="A455" t="s">
        <v>2025</v>
      </c>
      <c r="B455" t="s">
        <v>1263</v>
      </c>
      <c r="C455" s="3">
        <v>250</v>
      </c>
      <c r="D455" t="s">
        <v>17</v>
      </c>
      <c r="E455">
        <v>549948</v>
      </c>
      <c r="F455" t="s">
        <v>1562</v>
      </c>
      <c r="H455" s="4">
        <v>46105</v>
      </c>
      <c r="I455" t="s">
        <v>1966</v>
      </c>
    </row>
    <row r="456" spans="1:9" x14ac:dyDescent="0.25">
      <c r="A456" t="s">
        <v>2026</v>
      </c>
      <c r="B456" t="s">
        <v>1263</v>
      </c>
      <c r="C456" s="3">
        <v>250</v>
      </c>
      <c r="D456" t="s">
        <v>17</v>
      </c>
      <c r="E456">
        <v>549949</v>
      </c>
      <c r="F456" t="s">
        <v>1562</v>
      </c>
      <c r="H456" s="4">
        <v>46105</v>
      </c>
      <c r="I456" t="s">
        <v>1966</v>
      </c>
    </row>
    <row r="457" spans="1:9" x14ac:dyDescent="0.25">
      <c r="A457" t="s">
        <v>2027</v>
      </c>
      <c r="B457" t="s">
        <v>1263</v>
      </c>
      <c r="C457" s="3">
        <v>50</v>
      </c>
      <c r="D457" t="s">
        <v>17</v>
      </c>
      <c r="E457">
        <v>549950</v>
      </c>
      <c r="F457" t="s">
        <v>1562</v>
      </c>
      <c r="H457" s="4">
        <v>46106</v>
      </c>
      <c r="I457" t="s">
        <v>1966</v>
      </c>
    </row>
    <row r="458" spans="1:9" x14ac:dyDescent="0.25">
      <c r="A458" t="s">
        <v>1324</v>
      </c>
      <c r="B458" t="s">
        <v>1263</v>
      </c>
      <c r="C458" s="3">
        <v>100</v>
      </c>
      <c r="D458" t="s">
        <v>17</v>
      </c>
      <c r="E458">
        <v>549951</v>
      </c>
      <c r="F458" t="s">
        <v>1562</v>
      </c>
      <c r="H458" s="4">
        <v>46106</v>
      </c>
      <c r="I458" t="s">
        <v>1966</v>
      </c>
    </row>
    <row r="459" spans="1:9" x14ac:dyDescent="0.25">
      <c r="A459" t="s">
        <v>2028</v>
      </c>
      <c r="B459" t="s">
        <v>1263</v>
      </c>
      <c r="C459" s="3">
        <v>100</v>
      </c>
      <c r="D459" t="s">
        <v>17</v>
      </c>
      <c r="E459">
        <v>549952</v>
      </c>
      <c r="F459" t="s">
        <v>1562</v>
      </c>
      <c r="H459" s="4">
        <v>46106</v>
      </c>
      <c r="I459" t="s">
        <v>1966</v>
      </c>
    </row>
    <row r="460" spans="1:9" x14ac:dyDescent="0.25">
      <c r="A460" t="s">
        <v>2029</v>
      </c>
      <c r="B460" t="s">
        <v>1263</v>
      </c>
      <c r="C460" s="3">
        <v>25</v>
      </c>
      <c r="D460" t="s">
        <v>17</v>
      </c>
      <c r="E460">
        <v>549953</v>
      </c>
      <c r="F460" t="s">
        <v>1562</v>
      </c>
      <c r="H460" s="4">
        <v>46106</v>
      </c>
      <c r="I460" t="s">
        <v>1966</v>
      </c>
    </row>
    <row r="461" spans="1:9" x14ac:dyDescent="0.25">
      <c r="A461" t="s">
        <v>2030</v>
      </c>
      <c r="B461" t="s">
        <v>1263</v>
      </c>
      <c r="C461" s="3">
        <v>300</v>
      </c>
      <c r="D461" t="s">
        <v>17</v>
      </c>
      <c r="E461">
        <v>549954</v>
      </c>
      <c r="F461" t="s">
        <v>1562</v>
      </c>
      <c r="H461" s="4">
        <v>46106</v>
      </c>
      <c r="I461" t="s">
        <v>1966</v>
      </c>
    </row>
    <row r="462" spans="1:9" x14ac:dyDescent="0.25">
      <c r="A462" t="s">
        <v>2031</v>
      </c>
      <c r="B462" t="s">
        <v>1263</v>
      </c>
      <c r="C462" s="3">
        <v>100</v>
      </c>
      <c r="D462" t="s">
        <v>17</v>
      </c>
      <c r="E462">
        <v>549955</v>
      </c>
      <c r="F462" t="s">
        <v>1562</v>
      </c>
      <c r="H462" s="4">
        <v>46106</v>
      </c>
      <c r="I462" t="s">
        <v>1966</v>
      </c>
    </row>
    <row r="463" spans="1:9" x14ac:dyDescent="0.25">
      <c r="A463" t="s">
        <v>2032</v>
      </c>
      <c r="B463" t="s">
        <v>1263</v>
      </c>
      <c r="C463" s="3">
        <v>25</v>
      </c>
      <c r="D463" t="s">
        <v>17</v>
      </c>
      <c r="E463">
        <v>549963</v>
      </c>
      <c r="F463" t="s">
        <v>1562</v>
      </c>
      <c r="H463" s="4">
        <v>46106</v>
      </c>
      <c r="I463" t="s">
        <v>1966</v>
      </c>
    </row>
    <row r="464" spans="1:9" x14ac:dyDescent="0.25">
      <c r="A464" t="s">
        <v>2033</v>
      </c>
      <c r="B464" t="s">
        <v>1263</v>
      </c>
      <c r="C464" s="3">
        <v>600</v>
      </c>
      <c r="D464" t="s">
        <v>17</v>
      </c>
      <c r="E464">
        <v>549964</v>
      </c>
      <c r="F464" t="s">
        <v>1562</v>
      </c>
      <c r="H464" s="4">
        <v>46106</v>
      </c>
      <c r="I464" t="s">
        <v>1966</v>
      </c>
    </row>
    <row r="465" spans="1:9" x14ac:dyDescent="0.25">
      <c r="A465" t="s">
        <v>1055</v>
      </c>
      <c r="B465" t="s">
        <v>1262</v>
      </c>
      <c r="C465" s="3">
        <v>1000</v>
      </c>
      <c r="D465" t="s">
        <v>1045</v>
      </c>
      <c r="E465">
        <v>536641</v>
      </c>
      <c r="F465" t="s">
        <v>1562</v>
      </c>
      <c r="G465" t="s">
        <v>1624</v>
      </c>
      <c r="H465" s="4">
        <v>45771</v>
      </c>
      <c r="I465" t="s">
        <v>1965</v>
      </c>
    </row>
    <row r="466" spans="1:9" x14ac:dyDescent="0.25">
      <c r="A466" t="s">
        <v>1248</v>
      </c>
      <c r="B466" t="s">
        <v>1247</v>
      </c>
      <c r="C466" s="3">
        <v>240</v>
      </c>
      <c r="D466" t="s">
        <v>2</v>
      </c>
      <c r="E466">
        <v>540551</v>
      </c>
      <c r="F466" t="s">
        <v>1562</v>
      </c>
      <c r="G466" t="s">
        <v>1625</v>
      </c>
      <c r="H466" s="4">
        <v>45869</v>
      </c>
      <c r="I466" t="s">
        <v>1965</v>
      </c>
    </row>
    <row r="467" spans="1:9" x14ac:dyDescent="0.25">
      <c r="A467" t="s">
        <v>1252</v>
      </c>
      <c r="B467" t="s">
        <v>1247</v>
      </c>
      <c r="C467" s="3">
        <v>450</v>
      </c>
      <c r="D467" t="s">
        <v>2</v>
      </c>
      <c r="E467">
        <v>540552</v>
      </c>
      <c r="F467" t="s">
        <v>1562</v>
      </c>
      <c r="G467" t="s">
        <v>1626</v>
      </c>
      <c r="H467" s="4">
        <v>45869</v>
      </c>
      <c r="I467" t="s">
        <v>1965</v>
      </c>
    </row>
    <row r="468" spans="1:9" x14ac:dyDescent="0.25">
      <c r="A468" t="s">
        <v>1255</v>
      </c>
      <c r="B468" t="s">
        <v>1247</v>
      </c>
      <c r="C468" s="3">
        <v>300</v>
      </c>
      <c r="D468" t="s">
        <v>2</v>
      </c>
      <c r="E468">
        <v>540553</v>
      </c>
      <c r="F468" t="s">
        <v>1562</v>
      </c>
      <c r="G468" t="s">
        <v>1627</v>
      </c>
      <c r="H468" s="4">
        <v>45869</v>
      </c>
      <c r="I468" t="s">
        <v>1965</v>
      </c>
    </row>
    <row r="469" spans="1:9" x14ac:dyDescent="0.25">
      <c r="A469" t="s">
        <v>1255</v>
      </c>
      <c r="B469" t="s">
        <v>1247</v>
      </c>
      <c r="C469" s="3">
        <v>150</v>
      </c>
      <c r="D469" t="s">
        <v>2</v>
      </c>
      <c r="E469">
        <v>540554</v>
      </c>
      <c r="F469" t="s">
        <v>1562</v>
      </c>
      <c r="G469" t="s">
        <v>1627</v>
      </c>
      <c r="H469" s="4">
        <v>45869</v>
      </c>
      <c r="I469" t="s">
        <v>1965</v>
      </c>
    </row>
    <row r="470" spans="1:9" x14ac:dyDescent="0.25">
      <c r="A470" t="s">
        <v>1254</v>
      </c>
      <c r="B470" t="s">
        <v>1247</v>
      </c>
      <c r="C470" s="3">
        <v>200</v>
      </c>
      <c r="D470" t="s">
        <v>2</v>
      </c>
      <c r="E470">
        <v>540555</v>
      </c>
      <c r="F470" t="s">
        <v>1562</v>
      </c>
      <c r="G470" t="s">
        <v>1627</v>
      </c>
      <c r="H470" s="4">
        <v>45869</v>
      </c>
      <c r="I470" t="s">
        <v>1965</v>
      </c>
    </row>
    <row r="471" spans="1:9" x14ac:dyDescent="0.25">
      <c r="A471" t="s">
        <v>1253</v>
      </c>
      <c r="B471" t="s">
        <v>1247</v>
      </c>
      <c r="C471" s="3">
        <v>200</v>
      </c>
      <c r="D471" t="s">
        <v>2</v>
      </c>
      <c r="E471">
        <v>540556</v>
      </c>
      <c r="F471" t="s">
        <v>1562</v>
      </c>
      <c r="G471" t="s">
        <v>1627</v>
      </c>
      <c r="H471" s="4">
        <v>45869</v>
      </c>
      <c r="I471" t="s">
        <v>1965</v>
      </c>
    </row>
    <row r="472" spans="1:9" x14ac:dyDescent="0.25">
      <c r="A472" t="s">
        <v>1252</v>
      </c>
      <c r="B472" t="s">
        <v>1247</v>
      </c>
      <c r="C472" s="3">
        <v>1000</v>
      </c>
      <c r="D472" t="s">
        <v>2</v>
      </c>
      <c r="E472">
        <v>540557</v>
      </c>
      <c r="F472" t="s">
        <v>1562</v>
      </c>
      <c r="G472" t="s">
        <v>1628</v>
      </c>
      <c r="H472" s="4">
        <v>45869</v>
      </c>
      <c r="I472" t="s">
        <v>1965</v>
      </c>
    </row>
    <row r="473" spans="1:9" x14ac:dyDescent="0.25">
      <c r="A473" t="s">
        <v>1251</v>
      </c>
      <c r="B473" t="s">
        <v>1247</v>
      </c>
      <c r="C473" s="3">
        <v>500</v>
      </c>
      <c r="D473" t="s">
        <v>2</v>
      </c>
      <c r="E473">
        <v>540558</v>
      </c>
      <c r="F473" t="s">
        <v>1562</v>
      </c>
      <c r="G473" t="s">
        <v>1628</v>
      </c>
      <c r="H473" s="4">
        <v>45869</v>
      </c>
      <c r="I473" t="s">
        <v>1965</v>
      </c>
    </row>
    <row r="474" spans="1:9" x14ac:dyDescent="0.25">
      <c r="A474" t="s">
        <v>1244</v>
      </c>
      <c r="B474" t="s">
        <v>1247</v>
      </c>
      <c r="C474" s="3">
        <v>1000</v>
      </c>
      <c r="D474" t="s">
        <v>2</v>
      </c>
      <c r="E474">
        <v>540559</v>
      </c>
      <c r="F474" t="s">
        <v>1562</v>
      </c>
      <c r="G474" t="s">
        <v>1628</v>
      </c>
      <c r="H474" s="4">
        <v>45869</v>
      </c>
      <c r="I474" t="s">
        <v>1965</v>
      </c>
    </row>
    <row r="475" spans="1:9" x14ac:dyDescent="0.25">
      <c r="A475" t="s">
        <v>1250</v>
      </c>
      <c r="B475" t="s">
        <v>1247</v>
      </c>
      <c r="C475" s="3">
        <v>1000</v>
      </c>
      <c r="D475" t="s">
        <v>2</v>
      </c>
      <c r="E475">
        <v>540560</v>
      </c>
      <c r="F475" t="s">
        <v>1562</v>
      </c>
      <c r="G475" t="s">
        <v>1628</v>
      </c>
      <c r="H475" s="4">
        <v>45869</v>
      </c>
      <c r="I475" t="s">
        <v>1965</v>
      </c>
    </row>
    <row r="476" spans="1:9" x14ac:dyDescent="0.25">
      <c r="A476" t="s">
        <v>1249</v>
      </c>
      <c r="B476" t="s">
        <v>1247</v>
      </c>
      <c r="C476" s="3">
        <v>1000</v>
      </c>
      <c r="D476" t="s">
        <v>2</v>
      </c>
      <c r="E476">
        <v>540561</v>
      </c>
      <c r="F476" t="s">
        <v>1562</v>
      </c>
      <c r="G476" t="s">
        <v>1628</v>
      </c>
      <c r="H476" s="4">
        <v>45869</v>
      </c>
      <c r="I476" t="s">
        <v>1965</v>
      </c>
    </row>
    <row r="477" spans="1:9" x14ac:dyDescent="0.25">
      <c r="A477" t="s">
        <v>1248</v>
      </c>
      <c r="B477" t="s">
        <v>1247</v>
      </c>
      <c r="C477" s="3">
        <v>250</v>
      </c>
      <c r="D477" t="s">
        <v>2</v>
      </c>
      <c r="E477">
        <v>540562</v>
      </c>
      <c r="F477" t="s">
        <v>1562</v>
      </c>
      <c r="G477" t="s">
        <v>1628</v>
      </c>
      <c r="H477" s="4">
        <v>45869</v>
      </c>
      <c r="I477" t="s">
        <v>1965</v>
      </c>
    </row>
    <row r="478" spans="1:9" x14ac:dyDescent="0.25">
      <c r="A478" t="s">
        <v>1252</v>
      </c>
      <c r="B478" t="s">
        <v>1247</v>
      </c>
      <c r="C478" s="3">
        <v>325</v>
      </c>
      <c r="D478" t="s">
        <v>2</v>
      </c>
      <c r="E478">
        <v>540543</v>
      </c>
      <c r="F478" t="s">
        <v>1562</v>
      </c>
      <c r="G478" t="s">
        <v>1629</v>
      </c>
      <c r="H478" s="4">
        <v>45870</v>
      </c>
      <c r="I478" t="s">
        <v>1965</v>
      </c>
    </row>
    <row r="479" spans="1:9" x14ac:dyDescent="0.25">
      <c r="A479" t="s">
        <v>1252</v>
      </c>
      <c r="B479" t="s">
        <v>1247</v>
      </c>
      <c r="C479" s="3">
        <v>2000</v>
      </c>
      <c r="D479" t="s">
        <v>2</v>
      </c>
      <c r="E479">
        <v>540544</v>
      </c>
      <c r="F479" t="s">
        <v>1562</v>
      </c>
      <c r="G479" t="s">
        <v>1630</v>
      </c>
      <c r="H479" s="4">
        <v>45870</v>
      </c>
      <c r="I479" t="s">
        <v>1965</v>
      </c>
    </row>
    <row r="480" spans="1:9" x14ac:dyDescent="0.25">
      <c r="A480" t="s">
        <v>1252</v>
      </c>
      <c r="B480" t="s">
        <v>1247</v>
      </c>
      <c r="C480" s="3">
        <v>840</v>
      </c>
      <c r="D480" t="s">
        <v>2</v>
      </c>
      <c r="E480">
        <v>540545</v>
      </c>
      <c r="F480" t="s">
        <v>1562</v>
      </c>
      <c r="G480" t="s">
        <v>1627</v>
      </c>
      <c r="H480" s="4">
        <v>45870</v>
      </c>
      <c r="I480" t="s">
        <v>1965</v>
      </c>
    </row>
    <row r="481" spans="1:9" x14ac:dyDescent="0.25">
      <c r="A481" t="s">
        <v>1259</v>
      </c>
      <c r="B481" t="s">
        <v>1247</v>
      </c>
      <c r="C481" s="3">
        <v>1000</v>
      </c>
      <c r="D481" t="s">
        <v>2</v>
      </c>
      <c r="E481">
        <v>540546</v>
      </c>
      <c r="F481" t="s">
        <v>1562</v>
      </c>
      <c r="H481" s="4">
        <v>45870</v>
      </c>
      <c r="I481" t="s">
        <v>1965</v>
      </c>
    </row>
    <row r="482" spans="1:9" x14ac:dyDescent="0.25">
      <c r="A482" t="s">
        <v>1258</v>
      </c>
      <c r="B482" t="s">
        <v>1247</v>
      </c>
      <c r="C482" s="3">
        <v>2000</v>
      </c>
      <c r="D482" t="s">
        <v>2</v>
      </c>
      <c r="E482">
        <v>540547</v>
      </c>
      <c r="F482" t="s">
        <v>1562</v>
      </c>
      <c r="H482" s="4">
        <v>45870</v>
      </c>
      <c r="I482" t="s">
        <v>1965</v>
      </c>
    </row>
    <row r="483" spans="1:9" x14ac:dyDescent="0.25">
      <c r="A483" t="s">
        <v>1257</v>
      </c>
      <c r="B483" t="s">
        <v>1247</v>
      </c>
      <c r="C483" s="3">
        <v>1000</v>
      </c>
      <c r="D483" t="s">
        <v>2</v>
      </c>
      <c r="E483">
        <v>540549</v>
      </c>
      <c r="F483" t="s">
        <v>1562</v>
      </c>
      <c r="H483" s="4">
        <v>45870</v>
      </c>
      <c r="I483" t="s">
        <v>1965</v>
      </c>
    </row>
    <row r="484" spans="1:9" x14ac:dyDescent="0.25">
      <c r="A484" t="s">
        <v>1256</v>
      </c>
      <c r="B484" t="s">
        <v>1247</v>
      </c>
      <c r="C484" s="3">
        <v>1000</v>
      </c>
      <c r="D484" t="s">
        <v>2</v>
      </c>
      <c r="E484">
        <v>540550</v>
      </c>
      <c r="F484" t="s">
        <v>1562</v>
      </c>
      <c r="H484" s="4">
        <v>45870</v>
      </c>
      <c r="I484" t="s">
        <v>1965</v>
      </c>
    </row>
    <row r="485" spans="1:9" x14ac:dyDescent="0.25">
      <c r="A485" t="s">
        <v>280</v>
      </c>
      <c r="B485" t="s">
        <v>1247</v>
      </c>
      <c r="C485" s="3">
        <v>1000</v>
      </c>
      <c r="D485" t="s">
        <v>2</v>
      </c>
      <c r="E485">
        <v>540548</v>
      </c>
      <c r="F485" t="s">
        <v>1562</v>
      </c>
      <c r="H485" s="4">
        <v>45874</v>
      </c>
      <c r="I485" t="s">
        <v>1965</v>
      </c>
    </row>
    <row r="486" spans="1:9" x14ac:dyDescent="0.25">
      <c r="A486" t="s">
        <v>1261</v>
      </c>
      <c r="B486" t="s">
        <v>1247</v>
      </c>
      <c r="C486" s="3">
        <v>160</v>
      </c>
      <c r="D486" t="s">
        <v>2</v>
      </c>
      <c r="E486">
        <v>541003</v>
      </c>
      <c r="F486" t="s">
        <v>1562</v>
      </c>
      <c r="G486" t="s">
        <v>1627</v>
      </c>
      <c r="H486" s="4">
        <v>45876</v>
      </c>
      <c r="I486" t="s">
        <v>1965</v>
      </c>
    </row>
    <row r="487" spans="1:9" x14ac:dyDescent="0.25">
      <c r="A487" t="s">
        <v>1260</v>
      </c>
      <c r="B487" t="s">
        <v>1247</v>
      </c>
      <c r="C487" s="3">
        <v>100</v>
      </c>
      <c r="D487" t="s">
        <v>2</v>
      </c>
      <c r="E487">
        <v>541004</v>
      </c>
      <c r="F487" t="s">
        <v>1562</v>
      </c>
      <c r="G487" t="s">
        <v>1627</v>
      </c>
      <c r="H487" s="4">
        <v>45876</v>
      </c>
      <c r="I487" t="s">
        <v>1965</v>
      </c>
    </row>
    <row r="488" spans="1:9" x14ac:dyDescent="0.25">
      <c r="A488" t="s">
        <v>298</v>
      </c>
      <c r="B488" t="s">
        <v>1240</v>
      </c>
      <c r="C488" s="3">
        <v>100</v>
      </c>
      <c r="D488" t="s">
        <v>2</v>
      </c>
      <c r="E488">
        <v>538517</v>
      </c>
      <c r="F488" t="s">
        <v>1562</v>
      </c>
      <c r="H488" s="4">
        <v>45825</v>
      </c>
      <c r="I488" t="s">
        <v>1965</v>
      </c>
    </row>
    <row r="489" spans="1:9" x14ac:dyDescent="0.25">
      <c r="A489" t="s">
        <v>1242</v>
      </c>
      <c r="B489" t="s">
        <v>1240</v>
      </c>
      <c r="C489" s="3">
        <v>300</v>
      </c>
      <c r="D489" t="s">
        <v>2</v>
      </c>
      <c r="E489">
        <v>538518</v>
      </c>
      <c r="F489" t="s">
        <v>1562</v>
      </c>
      <c r="H489" s="4">
        <v>45825</v>
      </c>
      <c r="I489" t="s">
        <v>1965</v>
      </c>
    </row>
    <row r="490" spans="1:9" x14ac:dyDescent="0.25">
      <c r="A490" t="s">
        <v>1241</v>
      </c>
      <c r="B490" t="s">
        <v>1240</v>
      </c>
      <c r="C490" s="3">
        <v>800</v>
      </c>
      <c r="D490" t="s">
        <v>2</v>
      </c>
      <c r="E490">
        <v>538519</v>
      </c>
      <c r="F490" t="s">
        <v>1562</v>
      </c>
      <c r="H490" s="4">
        <v>45825</v>
      </c>
      <c r="I490" t="s">
        <v>1965</v>
      </c>
    </row>
    <row r="491" spans="1:9" x14ac:dyDescent="0.25">
      <c r="A491" t="s">
        <v>1239</v>
      </c>
      <c r="B491" t="s">
        <v>1238</v>
      </c>
      <c r="C491" s="3">
        <v>500</v>
      </c>
      <c r="D491" t="s">
        <v>17</v>
      </c>
      <c r="E491">
        <v>536558</v>
      </c>
      <c r="F491" t="s">
        <v>1562</v>
      </c>
      <c r="H491" s="4">
        <v>45771</v>
      </c>
      <c r="I491" t="s">
        <v>1965</v>
      </c>
    </row>
    <row r="492" spans="1:9" x14ac:dyDescent="0.25">
      <c r="A492" t="s">
        <v>1239</v>
      </c>
      <c r="B492" t="s">
        <v>1238</v>
      </c>
      <c r="C492" s="3">
        <v>2500</v>
      </c>
      <c r="D492" t="s">
        <v>17</v>
      </c>
      <c r="E492">
        <v>536565</v>
      </c>
      <c r="F492" t="s">
        <v>1562</v>
      </c>
      <c r="H492" s="4">
        <v>45771</v>
      </c>
      <c r="I492" t="s">
        <v>1965</v>
      </c>
    </row>
    <row r="493" spans="1:9" x14ac:dyDescent="0.25">
      <c r="A493" t="s">
        <v>1236</v>
      </c>
      <c r="B493" t="s">
        <v>1235</v>
      </c>
      <c r="C493" s="3">
        <v>1780</v>
      </c>
      <c r="D493" t="s">
        <v>17</v>
      </c>
      <c r="E493">
        <v>544070</v>
      </c>
      <c r="F493" t="s">
        <v>1562</v>
      </c>
      <c r="H493" s="4">
        <v>45961</v>
      </c>
      <c r="I493" t="s">
        <v>1965</v>
      </c>
    </row>
    <row r="494" spans="1:9" x14ac:dyDescent="0.25">
      <c r="A494" t="s">
        <v>1237</v>
      </c>
      <c r="B494" t="s">
        <v>1235</v>
      </c>
      <c r="C494" s="3">
        <v>100</v>
      </c>
      <c r="D494" t="s">
        <v>17</v>
      </c>
      <c r="E494">
        <v>544082</v>
      </c>
      <c r="F494" t="s">
        <v>1562</v>
      </c>
      <c r="H494" s="4">
        <v>45961</v>
      </c>
      <c r="I494" t="s">
        <v>1965</v>
      </c>
    </row>
    <row r="495" spans="1:9" x14ac:dyDescent="0.25">
      <c r="A495" t="s">
        <v>10</v>
      </c>
      <c r="B495" t="s">
        <v>1235</v>
      </c>
      <c r="C495" s="3">
        <v>20</v>
      </c>
      <c r="D495" t="s">
        <v>17</v>
      </c>
      <c r="E495">
        <v>544083</v>
      </c>
      <c r="F495" t="s">
        <v>1562</v>
      </c>
      <c r="H495" s="4">
        <v>45961</v>
      </c>
      <c r="I495" t="s">
        <v>1965</v>
      </c>
    </row>
    <row r="496" spans="1:9" x14ac:dyDescent="0.25">
      <c r="A496" t="s">
        <v>1047</v>
      </c>
      <c r="B496" t="s">
        <v>1235</v>
      </c>
      <c r="C496" s="3">
        <v>100</v>
      </c>
      <c r="D496" t="s">
        <v>17</v>
      </c>
      <c r="E496">
        <v>544084</v>
      </c>
      <c r="F496" t="s">
        <v>1562</v>
      </c>
      <c r="H496" s="4">
        <v>45961</v>
      </c>
      <c r="I496" t="s">
        <v>1965</v>
      </c>
    </row>
    <row r="497" spans="1:9" x14ac:dyDescent="0.25">
      <c r="A497" t="s">
        <v>1231</v>
      </c>
      <c r="B497" t="s">
        <v>1230</v>
      </c>
      <c r="C497" s="3">
        <v>21828</v>
      </c>
      <c r="D497" t="s">
        <v>9</v>
      </c>
      <c r="E497">
        <v>536010</v>
      </c>
      <c r="F497" t="s">
        <v>1562</v>
      </c>
      <c r="H497" s="4">
        <v>45755</v>
      </c>
      <c r="I497" t="s">
        <v>1965</v>
      </c>
    </row>
    <row r="498" spans="1:9" x14ac:dyDescent="0.25">
      <c r="A498" t="s">
        <v>1231</v>
      </c>
      <c r="B498" t="s">
        <v>1230</v>
      </c>
      <c r="C498" s="3">
        <v>14106.35</v>
      </c>
      <c r="D498" t="s">
        <v>9</v>
      </c>
      <c r="E498">
        <v>536011</v>
      </c>
      <c r="F498" t="s">
        <v>1562</v>
      </c>
      <c r="H498" s="4">
        <v>45755</v>
      </c>
      <c r="I498" t="s">
        <v>1965</v>
      </c>
    </row>
    <row r="499" spans="1:9" x14ac:dyDescent="0.25">
      <c r="A499" t="s">
        <v>1231</v>
      </c>
      <c r="B499" t="s">
        <v>1230</v>
      </c>
      <c r="C499" s="3">
        <v>4249.5</v>
      </c>
      <c r="D499" t="s">
        <v>9</v>
      </c>
      <c r="E499">
        <v>536012</v>
      </c>
      <c r="F499" t="s">
        <v>1562</v>
      </c>
      <c r="H499" s="4">
        <v>45755</v>
      </c>
      <c r="I499" t="s">
        <v>1965</v>
      </c>
    </row>
    <row r="500" spans="1:9" x14ac:dyDescent="0.25">
      <c r="A500" t="s">
        <v>1232</v>
      </c>
      <c r="B500" t="s">
        <v>1230</v>
      </c>
      <c r="C500" s="3">
        <v>1000</v>
      </c>
      <c r="D500" t="s">
        <v>9</v>
      </c>
      <c r="E500">
        <v>536022</v>
      </c>
      <c r="F500" t="s">
        <v>1562</v>
      </c>
      <c r="H500" s="4">
        <v>45755</v>
      </c>
      <c r="I500" t="s">
        <v>1965</v>
      </c>
    </row>
    <row r="501" spans="1:9" x14ac:dyDescent="0.25">
      <c r="A501" t="s">
        <v>1233</v>
      </c>
      <c r="B501" t="s">
        <v>1230</v>
      </c>
      <c r="C501" s="3">
        <v>50</v>
      </c>
      <c r="D501" t="s">
        <v>9</v>
      </c>
      <c r="E501">
        <v>548013</v>
      </c>
      <c r="F501" t="s">
        <v>1562</v>
      </c>
      <c r="H501" s="4">
        <v>46057</v>
      </c>
      <c r="I501" t="s">
        <v>1965</v>
      </c>
    </row>
    <row r="502" spans="1:9" x14ac:dyDescent="0.25">
      <c r="A502" t="s">
        <v>14</v>
      </c>
      <c r="B502" t="s">
        <v>1230</v>
      </c>
      <c r="C502" s="3">
        <v>20</v>
      </c>
      <c r="D502" t="s">
        <v>9</v>
      </c>
      <c r="E502">
        <v>549103</v>
      </c>
      <c r="F502" t="s">
        <v>1562</v>
      </c>
      <c r="G502" t="s">
        <v>1633</v>
      </c>
      <c r="H502" s="4">
        <v>46057</v>
      </c>
      <c r="I502" t="s">
        <v>1965</v>
      </c>
    </row>
    <row r="503" spans="1:9" x14ac:dyDescent="0.25">
      <c r="A503" t="s">
        <v>14</v>
      </c>
      <c r="B503" t="s">
        <v>1230</v>
      </c>
      <c r="C503" s="3">
        <v>20</v>
      </c>
      <c r="D503" t="s">
        <v>9</v>
      </c>
      <c r="E503">
        <v>549106</v>
      </c>
      <c r="F503" t="s">
        <v>1562</v>
      </c>
      <c r="H503" s="4">
        <v>46062</v>
      </c>
      <c r="I503" t="s">
        <v>1965</v>
      </c>
    </row>
    <row r="504" spans="1:9" x14ac:dyDescent="0.25">
      <c r="A504" t="s">
        <v>14</v>
      </c>
      <c r="B504" t="s">
        <v>1230</v>
      </c>
      <c r="C504" s="3">
        <v>80</v>
      </c>
      <c r="D504" t="s">
        <v>9</v>
      </c>
      <c r="E504">
        <v>549108</v>
      </c>
      <c r="F504" t="s">
        <v>1562</v>
      </c>
      <c r="H504" s="4">
        <v>46066</v>
      </c>
      <c r="I504" t="s">
        <v>1965</v>
      </c>
    </row>
    <row r="505" spans="1:9" x14ac:dyDescent="0.25">
      <c r="A505" t="s">
        <v>14</v>
      </c>
      <c r="B505" t="s">
        <v>1230</v>
      </c>
      <c r="C505" s="3">
        <v>50</v>
      </c>
      <c r="D505" t="s">
        <v>9</v>
      </c>
      <c r="E505">
        <v>549115</v>
      </c>
      <c r="F505" t="s">
        <v>1562</v>
      </c>
      <c r="G505" t="s">
        <v>1634</v>
      </c>
      <c r="H505" s="4">
        <v>46076</v>
      </c>
      <c r="I505" t="s">
        <v>1965</v>
      </c>
    </row>
    <row r="506" spans="1:9" x14ac:dyDescent="0.25">
      <c r="A506" t="s">
        <v>14</v>
      </c>
      <c r="B506" t="s">
        <v>1230</v>
      </c>
      <c r="C506" s="3">
        <v>50</v>
      </c>
      <c r="D506" t="s">
        <v>9</v>
      </c>
      <c r="E506">
        <v>549116</v>
      </c>
      <c r="F506" t="s">
        <v>1562</v>
      </c>
      <c r="G506" t="s">
        <v>1635</v>
      </c>
      <c r="H506" s="4">
        <v>46078</v>
      </c>
      <c r="I506" t="s">
        <v>1965</v>
      </c>
    </row>
    <row r="507" spans="1:9" x14ac:dyDescent="0.25">
      <c r="A507" t="s">
        <v>1234</v>
      </c>
      <c r="B507" t="s">
        <v>1230</v>
      </c>
      <c r="C507" s="3">
        <v>50</v>
      </c>
      <c r="D507" t="s">
        <v>9</v>
      </c>
      <c r="E507">
        <v>548865</v>
      </c>
      <c r="F507" t="s">
        <v>1562</v>
      </c>
      <c r="H507" s="4">
        <v>46078</v>
      </c>
      <c r="I507" t="s">
        <v>1965</v>
      </c>
    </row>
    <row r="508" spans="1:9" x14ac:dyDescent="0.25">
      <c r="A508" t="s">
        <v>64</v>
      </c>
      <c r="B508" t="s">
        <v>1230</v>
      </c>
      <c r="C508" s="3">
        <v>20</v>
      </c>
      <c r="D508" t="s">
        <v>9</v>
      </c>
      <c r="E508">
        <v>548866</v>
      </c>
      <c r="F508" t="s">
        <v>1562</v>
      </c>
      <c r="H508" s="4">
        <v>46078</v>
      </c>
      <c r="I508" t="s">
        <v>1965</v>
      </c>
    </row>
    <row r="509" spans="1:9" x14ac:dyDescent="0.25">
      <c r="A509" t="s">
        <v>2034</v>
      </c>
      <c r="B509" t="s">
        <v>1230</v>
      </c>
      <c r="C509" s="3">
        <v>900</v>
      </c>
      <c r="D509" t="s">
        <v>9</v>
      </c>
      <c r="E509">
        <v>549375</v>
      </c>
      <c r="F509" t="s">
        <v>1562</v>
      </c>
      <c r="G509" t="s">
        <v>2035</v>
      </c>
      <c r="H509" s="4">
        <v>46097</v>
      </c>
      <c r="I509" t="s">
        <v>1965</v>
      </c>
    </row>
    <row r="510" spans="1:9" x14ac:dyDescent="0.25">
      <c r="A510" t="s">
        <v>1231</v>
      </c>
      <c r="B510" t="s">
        <v>1230</v>
      </c>
      <c r="C510" s="3">
        <v>18000</v>
      </c>
      <c r="D510" t="s">
        <v>18</v>
      </c>
      <c r="E510">
        <v>549489</v>
      </c>
      <c r="F510" t="s">
        <v>1562</v>
      </c>
      <c r="H510" s="4">
        <v>46104</v>
      </c>
      <c r="I510" t="s">
        <v>1965</v>
      </c>
    </row>
    <row r="511" spans="1:9" x14ac:dyDescent="0.25">
      <c r="A511" t="s">
        <v>1229</v>
      </c>
      <c r="B511" t="s">
        <v>1196</v>
      </c>
      <c r="C511" s="3">
        <v>150</v>
      </c>
      <c r="D511" t="s">
        <v>2</v>
      </c>
      <c r="E511">
        <v>542499</v>
      </c>
      <c r="F511" t="s">
        <v>1562</v>
      </c>
      <c r="H511" s="4">
        <v>45923</v>
      </c>
      <c r="I511" t="s">
        <v>1965</v>
      </c>
    </row>
    <row r="512" spans="1:9" x14ac:dyDescent="0.25">
      <c r="A512" t="s">
        <v>1228</v>
      </c>
      <c r="B512" t="s">
        <v>1196</v>
      </c>
      <c r="C512" s="3">
        <v>400</v>
      </c>
      <c r="D512" t="s">
        <v>2</v>
      </c>
      <c r="E512">
        <v>542500</v>
      </c>
      <c r="F512" t="s">
        <v>1562</v>
      </c>
      <c r="H512" s="4">
        <v>45923</v>
      </c>
      <c r="I512" t="s">
        <v>1965</v>
      </c>
    </row>
    <row r="513" spans="1:9" x14ac:dyDescent="0.25">
      <c r="A513" t="s">
        <v>16</v>
      </c>
      <c r="B513" t="s">
        <v>1196</v>
      </c>
      <c r="C513" s="3">
        <v>100</v>
      </c>
      <c r="D513" t="s">
        <v>2</v>
      </c>
      <c r="E513">
        <v>542501</v>
      </c>
      <c r="F513" t="s">
        <v>1562</v>
      </c>
      <c r="H513" s="4">
        <v>45923</v>
      </c>
      <c r="I513" t="s">
        <v>1965</v>
      </c>
    </row>
    <row r="514" spans="1:9" x14ac:dyDescent="0.25">
      <c r="A514" t="s">
        <v>1227</v>
      </c>
      <c r="B514" t="s">
        <v>1196</v>
      </c>
      <c r="C514" s="3">
        <v>50</v>
      </c>
      <c r="D514" t="s">
        <v>2</v>
      </c>
      <c r="E514">
        <v>542502</v>
      </c>
      <c r="F514" t="s">
        <v>1562</v>
      </c>
      <c r="H514" s="4">
        <v>45923</v>
      </c>
      <c r="I514" t="s">
        <v>1965</v>
      </c>
    </row>
    <row r="515" spans="1:9" x14ac:dyDescent="0.25">
      <c r="A515" t="s">
        <v>1226</v>
      </c>
      <c r="B515" t="s">
        <v>1196</v>
      </c>
      <c r="C515" s="3">
        <v>300</v>
      </c>
      <c r="D515" t="s">
        <v>2</v>
      </c>
      <c r="E515">
        <v>542503</v>
      </c>
      <c r="F515" t="s">
        <v>1562</v>
      </c>
      <c r="H515" s="4">
        <v>45923</v>
      </c>
      <c r="I515" t="s">
        <v>1965</v>
      </c>
    </row>
    <row r="516" spans="1:9" x14ac:dyDescent="0.25">
      <c r="A516" t="s">
        <v>1225</v>
      </c>
      <c r="B516" t="s">
        <v>1196</v>
      </c>
      <c r="C516" s="3">
        <v>500</v>
      </c>
      <c r="D516" t="s">
        <v>2</v>
      </c>
      <c r="E516">
        <v>542504</v>
      </c>
      <c r="F516" t="s">
        <v>1562</v>
      </c>
      <c r="H516" s="4">
        <v>45923</v>
      </c>
      <c r="I516" t="s">
        <v>1965</v>
      </c>
    </row>
    <row r="517" spans="1:9" x14ac:dyDescent="0.25">
      <c r="A517" t="s">
        <v>1224</v>
      </c>
      <c r="B517" t="s">
        <v>1196</v>
      </c>
      <c r="C517" s="3">
        <v>150</v>
      </c>
      <c r="D517" t="s">
        <v>2</v>
      </c>
      <c r="E517">
        <v>542505</v>
      </c>
      <c r="F517" t="s">
        <v>1562</v>
      </c>
      <c r="H517" s="4">
        <v>45923</v>
      </c>
      <c r="I517" t="s">
        <v>1965</v>
      </c>
    </row>
    <row r="518" spans="1:9" x14ac:dyDescent="0.25">
      <c r="A518" t="s">
        <v>1223</v>
      </c>
      <c r="B518" t="s">
        <v>1196</v>
      </c>
      <c r="C518" s="3">
        <v>100</v>
      </c>
      <c r="D518" t="s">
        <v>2</v>
      </c>
      <c r="E518">
        <v>542506</v>
      </c>
      <c r="F518" t="s">
        <v>1562</v>
      </c>
      <c r="H518" s="4">
        <v>45923</v>
      </c>
      <c r="I518" t="s">
        <v>1965</v>
      </c>
    </row>
    <row r="519" spans="1:9" x14ac:dyDescent="0.25">
      <c r="A519" t="s">
        <v>1222</v>
      </c>
      <c r="B519" t="s">
        <v>1196</v>
      </c>
      <c r="C519" s="3">
        <v>100</v>
      </c>
      <c r="D519" t="s">
        <v>2</v>
      </c>
      <c r="E519">
        <v>542507</v>
      </c>
      <c r="F519" t="s">
        <v>1562</v>
      </c>
      <c r="H519" s="4">
        <v>45923</v>
      </c>
      <c r="I519" t="s">
        <v>1965</v>
      </c>
    </row>
    <row r="520" spans="1:9" x14ac:dyDescent="0.25">
      <c r="A520" t="s">
        <v>1221</v>
      </c>
      <c r="B520" t="s">
        <v>1196</v>
      </c>
      <c r="C520" s="3">
        <v>50</v>
      </c>
      <c r="D520" t="s">
        <v>2</v>
      </c>
      <c r="E520">
        <v>542508</v>
      </c>
      <c r="F520" t="s">
        <v>1562</v>
      </c>
      <c r="H520" s="4">
        <v>45923</v>
      </c>
      <c r="I520" t="s">
        <v>1965</v>
      </c>
    </row>
    <row r="521" spans="1:9" x14ac:dyDescent="0.25">
      <c r="A521" t="s">
        <v>1220</v>
      </c>
      <c r="B521" t="s">
        <v>1196</v>
      </c>
      <c r="C521" s="3">
        <v>45</v>
      </c>
      <c r="D521" t="s">
        <v>2</v>
      </c>
      <c r="E521">
        <v>542509</v>
      </c>
      <c r="F521" t="s">
        <v>1562</v>
      </c>
      <c r="H521" s="4">
        <v>45923</v>
      </c>
      <c r="I521" t="s">
        <v>1965</v>
      </c>
    </row>
    <row r="522" spans="1:9" x14ac:dyDescent="0.25">
      <c r="A522" t="s">
        <v>1219</v>
      </c>
      <c r="B522" t="s">
        <v>1196</v>
      </c>
      <c r="C522" s="3">
        <v>100</v>
      </c>
      <c r="D522" t="s">
        <v>2</v>
      </c>
      <c r="E522">
        <v>542510</v>
      </c>
      <c r="F522" t="s">
        <v>1562</v>
      </c>
      <c r="H522" s="4">
        <v>45923</v>
      </c>
      <c r="I522" t="s">
        <v>1965</v>
      </c>
    </row>
    <row r="523" spans="1:9" x14ac:dyDescent="0.25">
      <c r="A523" t="s">
        <v>1218</v>
      </c>
      <c r="B523" t="s">
        <v>1196</v>
      </c>
      <c r="C523" s="3">
        <v>40</v>
      </c>
      <c r="D523" t="s">
        <v>2</v>
      </c>
      <c r="E523">
        <v>542511</v>
      </c>
      <c r="F523" t="s">
        <v>1562</v>
      </c>
      <c r="H523" s="4">
        <v>45923</v>
      </c>
      <c r="I523" t="s">
        <v>1965</v>
      </c>
    </row>
    <row r="524" spans="1:9" x14ac:dyDescent="0.25">
      <c r="A524" t="s">
        <v>332</v>
      </c>
      <c r="B524" t="s">
        <v>1196</v>
      </c>
      <c r="C524" s="3">
        <v>100</v>
      </c>
      <c r="D524" t="s">
        <v>2</v>
      </c>
      <c r="E524">
        <v>542512</v>
      </c>
      <c r="F524" t="s">
        <v>1562</v>
      </c>
      <c r="H524" s="4">
        <v>45923</v>
      </c>
      <c r="I524" t="s">
        <v>1965</v>
      </c>
    </row>
    <row r="525" spans="1:9" x14ac:dyDescent="0.25">
      <c r="A525" t="s">
        <v>1217</v>
      </c>
      <c r="B525" t="s">
        <v>1196</v>
      </c>
      <c r="C525" s="3">
        <v>100</v>
      </c>
      <c r="D525" t="s">
        <v>2</v>
      </c>
      <c r="E525">
        <v>542513</v>
      </c>
      <c r="F525" t="s">
        <v>1562</v>
      </c>
      <c r="H525" s="4">
        <v>45923</v>
      </c>
      <c r="I525" t="s">
        <v>1965</v>
      </c>
    </row>
    <row r="526" spans="1:9" x14ac:dyDescent="0.25">
      <c r="A526" t="s">
        <v>1216</v>
      </c>
      <c r="B526" t="s">
        <v>1196</v>
      </c>
      <c r="C526" s="3">
        <v>100</v>
      </c>
      <c r="D526" t="s">
        <v>2</v>
      </c>
      <c r="E526">
        <v>542514</v>
      </c>
      <c r="F526" t="s">
        <v>1562</v>
      </c>
      <c r="H526" s="4">
        <v>45923</v>
      </c>
      <c r="I526" t="s">
        <v>1965</v>
      </c>
    </row>
    <row r="527" spans="1:9" x14ac:dyDescent="0.25">
      <c r="A527" t="s">
        <v>1215</v>
      </c>
      <c r="B527" t="s">
        <v>1196</v>
      </c>
      <c r="C527" s="3">
        <v>80</v>
      </c>
      <c r="D527" t="s">
        <v>2</v>
      </c>
      <c r="E527">
        <v>542515</v>
      </c>
      <c r="F527" t="s">
        <v>1562</v>
      </c>
      <c r="H527" s="4">
        <v>45923</v>
      </c>
      <c r="I527" t="s">
        <v>1965</v>
      </c>
    </row>
    <row r="528" spans="1:9" x14ac:dyDescent="0.25">
      <c r="A528" t="s">
        <v>1214</v>
      </c>
      <c r="B528" t="s">
        <v>1196</v>
      </c>
      <c r="C528" s="3">
        <v>50</v>
      </c>
      <c r="D528" t="s">
        <v>2</v>
      </c>
      <c r="E528">
        <v>542516</v>
      </c>
      <c r="F528" t="s">
        <v>1562</v>
      </c>
      <c r="H528" s="4">
        <v>45923</v>
      </c>
      <c r="I528" t="s">
        <v>1965</v>
      </c>
    </row>
    <row r="529" spans="1:9" x14ac:dyDescent="0.25">
      <c r="A529" t="s">
        <v>1213</v>
      </c>
      <c r="B529" t="s">
        <v>1196</v>
      </c>
      <c r="C529" s="3">
        <v>100</v>
      </c>
      <c r="D529" t="s">
        <v>2</v>
      </c>
      <c r="E529">
        <v>542517</v>
      </c>
      <c r="F529" t="s">
        <v>1562</v>
      </c>
      <c r="H529" s="4">
        <v>45923</v>
      </c>
      <c r="I529" t="s">
        <v>1965</v>
      </c>
    </row>
    <row r="530" spans="1:9" x14ac:dyDescent="0.25">
      <c r="A530" t="s">
        <v>1212</v>
      </c>
      <c r="B530" t="s">
        <v>1196</v>
      </c>
      <c r="C530" s="3">
        <v>50</v>
      </c>
      <c r="D530" t="s">
        <v>2</v>
      </c>
      <c r="E530">
        <v>542518</v>
      </c>
      <c r="F530" t="s">
        <v>1562</v>
      </c>
      <c r="H530" s="4">
        <v>45923</v>
      </c>
      <c r="I530" t="s">
        <v>1965</v>
      </c>
    </row>
    <row r="531" spans="1:9" x14ac:dyDescent="0.25">
      <c r="A531" t="s">
        <v>1049</v>
      </c>
      <c r="B531" t="s">
        <v>1196</v>
      </c>
      <c r="C531" s="3">
        <v>100</v>
      </c>
      <c r="D531" t="s">
        <v>2</v>
      </c>
      <c r="E531">
        <v>542519</v>
      </c>
      <c r="F531" t="s">
        <v>1562</v>
      </c>
      <c r="H531" s="4">
        <v>45923</v>
      </c>
      <c r="I531" t="s">
        <v>1965</v>
      </c>
    </row>
    <row r="532" spans="1:9" x14ac:dyDescent="0.25">
      <c r="A532" t="s">
        <v>1211</v>
      </c>
      <c r="B532" t="s">
        <v>1196</v>
      </c>
      <c r="C532" s="3">
        <v>100</v>
      </c>
      <c r="D532" t="s">
        <v>2</v>
      </c>
      <c r="E532">
        <v>542520</v>
      </c>
      <c r="F532" t="s">
        <v>1562</v>
      </c>
      <c r="H532" s="4">
        <v>45923</v>
      </c>
      <c r="I532" t="s">
        <v>1965</v>
      </c>
    </row>
    <row r="533" spans="1:9" x14ac:dyDescent="0.25">
      <c r="A533" t="s">
        <v>1210</v>
      </c>
      <c r="B533" t="s">
        <v>1196</v>
      </c>
      <c r="C533" s="3">
        <v>100</v>
      </c>
      <c r="D533" t="s">
        <v>2</v>
      </c>
      <c r="E533">
        <v>542521</v>
      </c>
      <c r="F533" t="s">
        <v>1562</v>
      </c>
      <c r="H533" s="4">
        <v>45923</v>
      </c>
      <c r="I533" t="s">
        <v>1965</v>
      </c>
    </row>
    <row r="534" spans="1:9" x14ac:dyDescent="0.25">
      <c r="A534" t="s">
        <v>1209</v>
      </c>
      <c r="B534" t="s">
        <v>1196</v>
      </c>
      <c r="C534" s="3">
        <v>100</v>
      </c>
      <c r="D534" t="s">
        <v>2</v>
      </c>
      <c r="E534">
        <v>542522</v>
      </c>
      <c r="F534" t="s">
        <v>1562</v>
      </c>
      <c r="H534" s="4">
        <v>45923</v>
      </c>
      <c r="I534" t="s">
        <v>1965</v>
      </c>
    </row>
    <row r="535" spans="1:9" x14ac:dyDescent="0.25">
      <c r="A535" t="s">
        <v>1208</v>
      </c>
      <c r="B535" t="s">
        <v>1196</v>
      </c>
      <c r="C535" s="3">
        <v>400</v>
      </c>
      <c r="D535" t="s">
        <v>2</v>
      </c>
      <c r="E535">
        <v>542523</v>
      </c>
      <c r="F535" t="s">
        <v>1562</v>
      </c>
      <c r="H535" s="4">
        <v>45923</v>
      </c>
      <c r="I535" t="s">
        <v>1965</v>
      </c>
    </row>
    <row r="536" spans="1:9" x14ac:dyDescent="0.25">
      <c r="A536" t="s">
        <v>1207</v>
      </c>
      <c r="B536" t="s">
        <v>1196</v>
      </c>
      <c r="C536" s="3">
        <v>70</v>
      </c>
      <c r="D536" t="s">
        <v>2</v>
      </c>
      <c r="E536">
        <v>542524</v>
      </c>
      <c r="F536" t="s">
        <v>1562</v>
      </c>
      <c r="H536" s="4">
        <v>45923</v>
      </c>
      <c r="I536" t="s">
        <v>1965</v>
      </c>
    </row>
    <row r="537" spans="1:9" x14ac:dyDescent="0.25">
      <c r="A537" t="s">
        <v>1206</v>
      </c>
      <c r="B537" t="s">
        <v>1196</v>
      </c>
      <c r="C537" s="3">
        <v>50</v>
      </c>
      <c r="D537" t="s">
        <v>2</v>
      </c>
      <c r="E537">
        <v>542525</v>
      </c>
      <c r="F537" t="s">
        <v>1562</v>
      </c>
      <c r="H537" s="4">
        <v>45923</v>
      </c>
      <c r="I537" t="s">
        <v>1965</v>
      </c>
    </row>
    <row r="538" spans="1:9" x14ac:dyDescent="0.25">
      <c r="A538" t="s">
        <v>1205</v>
      </c>
      <c r="B538" t="s">
        <v>1196</v>
      </c>
      <c r="C538" s="3">
        <v>100</v>
      </c>
      <c r="D538" t="s">
        <v>2</v>
      </c>
      <c r="E538">
        <v>542526</v>
      </c>
      <c r="F538" t="s">
        <v>1562</v>
      </c>
      <c r="H538" s="4">
        <v>45923</v>
      </c>
      <c r="I538" t="s">
        <v>1965</v>
      </c>
    </row>
    <row r="539" spans="1:9" x14ac:dyDescent="0.25">
      <c r="A539" t="s">
        <v>1204</v>
      </c>
      <c r="B539" t="s">
        <v>1196</v>
      </c>
      <c r="C539" s="3">
        <v>60</v>
      </c>
      <c r="D539" t="s">
        <v>2</v>
      </c>
      <c r="E539">
        <v>542527</v>
      </c>
      <c r="F539" t="s">
        <v>1562</v>
      </c>
      <c r="H539" s="4">
        <v>45923</v>
      </c>
      <c r="I539" t="s">
        <v>1965</v>
      </c>
    </row>
    <row r="540" spans="1:9" x14ac:dyDescent="0.25">
      <c r="A540" t="s">
        <v>1203</v>
      </c>
      <c r="B540" t="s">
        <v>1196</v>
      </c>
      <c r="C540" s="3">
        <v>100</v>
      </c>
      <c r="D540" t="s">
        <v>2</v>
      </c>
      <c r="E540">
        <v>542528</v>
      </c>
      <c r="F540" t="s">
        <v>1562</v>
      </c>
      <c r="H540" s="4">
        <v>45923</v>
      </c>
      <c r="I540" t="s">
        <v>1965</v>
      </c>
    </row>
    <row r="541" spans="1:9" x14ac:dyDescent="0.25">
      <c r="A541" t="s">
        <v>1202</v>
      </c>
      <c r="B541" t="s">
        <v>1196</v>
      </c>
      <c r="C541" s="3">
        <v>100</v>
      </c>
      <c r="D541" t="s">
        <v>2</v>
      </c>
      <c r="E541">
        <v>542529</v>
      </c>
      <c r="F541" t="s">
        <v>1562</v>
      </c>
      <c r="H541" s="4">
        <v>45923</v>
      </c>
      <c r="I541" t="s">
        <v>1965</v>
      </c>
    </row>
    <row r="542" spans="1:9" x14ac:dyDescent="0.25">
      <c r="A542" t="s">
        <v>1201</v>
      </c>
      <c r="B542" t="s">
        <v>1196</v>
      </c>
      <c r="C542" s="3">
        <v>40</v>
      </c>
      <c r="D542" t="s">
        <v>2</v>
      </c>
      <c r="E542">
        <v>542530</v>
      </c>
      <c r="F542" t="s">
        <v>1562</v>
      </c>
      <c r="H542" s="4">
        <v>45923</v>
      </c>
      <c r="I542" t="s">
        <v>1965</v>
      </c>
    </row>
    <row r="543" spans="1:9" x14ac:dyDescent="0.25">
      <c r="A543" t="s">
        <v>1200</v>
      </c>
      <c r="B543" t="s">
        <v>1196</v>
      </c>
      <c r="C543" s="3">
        <v>250</v>
      </c>
      <c r="D543" t="s">
        <v>2</v>
      </c>
      <c r="E543">
        <v>542531</v>
      </c>
      <c r="F543" t="s">
        <v>1562</v>
      </c>
      <c r="H543" s="4">
        <v>45923</v>
      </c>
      <c r="I543" t="s">
        <v>1965</v>
      </c>
    </row>
    <row r="544" spans="1:9" x14ac:dyDescent="0.25">
      <c r="A544" t="s">
        <v>1199</v>
      </c>
      <c r="B544" t="s">
        <v>1196</v>
      </c>
      <c r="C544" s="3">
        <v>50</v>
      </c>
      <c r="D544" t="s">
        <v>2</v>
      </c>
      <c r="E544">
        <v>542532</v>
      </c>
      <c r="F544" t="s">
        <v>1562</v>
      </c>
      <c r="H544" s="4">
        <v>45923</v>
      </c>
      <c r="I544" t="s">
        <v>1965</v>
      </c>
    </row>
    <row r="545" spans="1:9" x14ac:dyDescent="0.25">
      <c r="A545" t="s">
        <v>1198</v>
      </c>
      <c r="B545" t="s">
        <v>1196</v>
      </c>
      <c r="C545" s="3">
        <v>100</v>
      </c>
      <c r="D545" t="s">
        <v>2</v>
      </c>
      <c r="E545">
        <v>542533</v>
      </c>
      <c r="F545" t="s">
        <v>1562</v>
      </c>
      <c r="H545" s="4">
        <v>45923</v>
      </c>
      <c r="I545" t="s">
        <v>1965</v>
      </c>
    </row>
    <row r="546" spans="1:9" x14ac:dyDescent="0.25">
      <c r="A546" t="s">
        <v>1197</v>
      </c>
      <c r="B546" t="s">
        <v>1196</v>
      </c>
      <c r="C546" s="3">
        <v>990</v>
      </c>
      <c r="D546" t="s">
        <v>2</v>
      </c>
      <c r="E546">
        <v>542534</v>
      </c>
      <c r="F546" t="s">
        <v>1562</v>
      </c>
      <c r="H546" s="4">
        <v>45923</v>
      </c>
      <c r="I546" t="s">
        <v>1965</v>
      </c>
    </row>
    <row r="547" spans="1:9" x14ac:dyDescent="0.25">
      <c r="A547" t="s">
        <v>121</v>
      </c>
      <c r="B547" t="s">
        <v>1171</v>
      </c>
      <c r="C547" s="3">
        <v>40</v>
      </c>
      <c r="D547" t="s">
        <v>9</v>
      </c>
      <c r="E547">
        <v>536151</v>
      </c>
      <c r="F547" t="s">
        <v>1562</v>
      </c>
      <c r="G547" s="5">
        <v>45658</v>
      </c>
      <c r="H547" s="4">
        <v>45764</v>
      </c>
      <c r="I547" t="s">
        <v>1965</v>
      </c>
    </row>
    <row r="548" spans="1:9" x14ac:dyDescent="0.25">
      <c r="A548" t="s">
        <v>1195</v>
      </c>
      <c r="B548" t="s">
        <v>1171</v>
      </c>
      <c r="C548" s="3">
        <v>300</v>
      </c>
      <c r="D548" t="s">
        <v>53</v>
      </c>
      <c r="E548">
        <v>548828</v>
      </c>
      <c r="F548" t="s">
        <v>1562</v>
      </c>
      <c r="G548" t="s">
        <v>1636</v>
      </c>
      <c r="H548" s="4">
        <v>46066</v>
      </c>
      <c r="I548" t="s">
        <v>1965</v>
      </c>
    </row>
    <row r="549" spans="1:9" x14ac:dyDescent="0.25">
      <c r="A549" t="s">
        <v>1194</v>
      </c>
      <c r="B549" t="s">
        <v>1171</v>
      </c>
      <c r="C549" s="3">
        <v>170</v>
      </c>
      <c r="D549" t="s">
        <v>53</v>
      </c>
      <c r="E549">
        <v>548829</v>
      </c>
      <c r="F549" t="s">
        <v>1562</v>
      </c>
      <c r="G549" t="s">
        <v>1637</v>
      </c>
      <c r="H549" s="4">
        <v>46066</v>
      </c>
      <c r="I549" t="s">
        <v>1965</v>
      </c>
    </row>
    <row r="550" spans="1:9" x14ac:dyDescent="0.25">
      <c r="A550" t="s">
        <v>1193</v>
      </c>
      <c r="B550" t="s">
        <v>1171</v>
      </c>
      <c r="C550" s="3">
        <v>240</v>
      </c>
      <c r="D550" t="s">
        <v>53</v>
      </c>
      <c r="E550">
        <v>548830</v>
      </c>
      <c r="F550" t="s">
        <v>1562</v>
      </c>
      <c r="G550" t="s">
        <v>1638</v>
      </c>
      <c r="H550" s="4">
        <v>46066</v>
      </c>
      <c r="I550" t="s">
        <v>1965</v>
      </c>
    </row>
    <row r="551" spans="1:9" x14ac:dyDescent="0.25">
      <c r="A551" t="s">
        <v>1192</v>
      </c>
      <c r="B551" t="s">
        <v>1171</v>
      </c>
      <c r="C551" s="3">
        <v>350</v>
      </c>
      <c r="D551" t="s">
        <v>53</v>
      </c>
      <c r="E551">
        <v>548831</v>
      </c>
      <c r="F551" t="s">
        <v>1562</v>
      </c>
      <c r="G551" t="s">
        <v>1639</v>
      </c>
      <c r="H551" s="4">
        <v>46066</v>
      </c>
      <c r="I551" t="s">
        <v>1965</v>
      </c>
    </row>
    <row r="552" spans="1:9" x14ac:dyDescent="0.25">
      <c r="A552" t="s">
        <v>1191</v>
      </c>
      <c r="B552" t="s">
        <v>1171</v>
      </c>
      <c r="C552" s="3">
        <v>300</v>
      </c>
      <c r="D552" t="s">
        <v>53</v>
      </c>
      <c r="E552">
        <v>548832</v>
      </c>
      <c r="F552" t="s">
        <v>1562</v>
      </c>
      <c r="G552" t="s">
        <v>1640</v>
      </c>
      <c r="H552" s="4">
        <v>46066</v>
      </c>
      <c r="I552" t="s">
        <v>1965</v>
      </c>
    </row>
    <row r="553" spans="1:9" x14ac:dyDescent="0.25">
      <c r="A553" t="s">
        <v>1190</v>
      </c>
      <c r="B553" t="s">
        <v>1171</v>
      </c>
      <c r="C553" s="3">
        <v>170</v>
      </c>
      <c r="D553" t="s">
        <v>53</v>
      </c>
      <c r="E553">
        <v>548833</v>
      </c>
      <c r="F553" t="s">
        <v>1562</v>
      </c>
      <c r="G553" t="s">
        <v>1641</v>
      </c>
      <c r="H553" s="4">
        <v>46066</v>
      </c>
      <c r="I553" t="s">
        <v>1965</v>
      </c>
    </row>
    <row r="554" spans="1:9" x14ac:dyDescent="0.25">
      <c r="A554" t="s">
        <v>1189</v>
      </c>
      <c r="B554" t="s">
        <v>1171</v>
      </c>
      <c r="C554" s="3">
        <v>200</v>
      </c>
      <c r="D554" t="s">
        <v>53</v>
      </c>
      <c r="E554">
        <v>548834</v>
      </c>
      <c r="F554" t="s">
        <v>1562</v>
      </c>
      <c r="G554" t="s">
        <v>1642</v>
      </c>
      <c r="H554" s="4">
        <v>46066</v>
      </c>
      <c r="I554" t="s">
        <v>1965</v>
      </c>
    </row>
    <row r="555" spans="1:9" x14ac:dyDescent="0.25">
      <c r="A555" t="s">
        <v>1188</v>
      </c>
      <c r="B555" t="s">
        <v>1171</v>
      </c>
      <c r="C555" s="3">
        <v>175</v>
      </c>
      <c r="D555" t="s">
        <v>53</v>
      </c>
      <c r="E555">
        <v>548835</v>
      </c>
      <c r="F555" t="s">
        <v>1562</v>
      </c>
      <c r="G555" t="s">
        <v>1643</v>
      </c>
      <c r="H555" s="4">
        <v>46066</v>
      </c>
      <c r="I555" t="s">
        <v>1965</v>
      </c>
    </row>
    <row r="556" spans="1:9" x14ac:dyDescent="0.25">
      <c r="A556" t="s">
        <v>1187</v>
      </c>
      <c r="B556" t="s">
        <v>1171</v>
      </c>
      <c r="C556" s="3">
        <v>170</v>
      </c>
      <c r="D556" t="s">
        <v>53</v>
      </c>
      <c r="E556">
        <v>548836</v>
      </c>
      <c r="F556" t="s">
        <v>1562</v>
      </c>
      <c r="G556" t="s">
        <v>1644</v>
      </c>
      <c r="H556" s="4">
        <v>46066</v>
      </c>
      <c r="I556" t="s">
        <v>1965</v>
      </c>
    </row>
    <row r="557" spans="1:9" x14ac:dyDescent="0.25">
      <c r="A557" t="s">
        <v>1186</v>
      </c>
      <c r="B557" t="s">
        <v>1171</v>
      </c>
      <c r="C557" s="3">
        <v>500</v>
      </c>
      <c r="D557" t="s">
        <v>53</v>
      </c>
      <c r="E557">
        <v>548837</v>
      </c>
      <c r="F557" t="s">
        <v>1562</v>
      </c>
      <c r="G557" t="s">
        <v>1645</v>
      </c>
      <c r="H557" s="4">
        <v>46066</v>
      </c>
      <c r="I557" t="s">
        <v>1965</v>
      </c>
    </row>
    <row r="558" spans="1:9" x14ac:dyDescent="0.25">
      <c r="A558" t="s">
        <v>1185</v>
      </c>
      <c r="B558" t="s">
        <v>1171</v>
      </c>
      <c r="C558" s="3">
        <v>160</v>
      </c>
      <c r="D558" t="s">
        <v>53</v>
      </c>
      <c r="E558">
        <v>548838</v>
      </c>
      <c r="F558" t="s">
        <v>1562</v>
      </c>
      <c r="G558" t="s">
        <v>1646</v>
      </c>
      <c r="H558" s="4">
        <v>46066</v>
      </c>
      <c r="I558" t="s">
        <v>1965</v>
      </c>
    </row>
    <row r="559" spans="1:9" x14ac:dyDescent="0.25">
      <c r="A559" t="s">
        <v>1184</v>
      </c>
      <c r="B559" t="s">
        <v>1171</v>
      </c>
      <c r="C559" s="3">
        <v>300</v>
      </c>
      <c r="D559" t="s">
        <v>53</v>
      </c>
      <c r="E559">
        <v>548839</v>
      </c>
      <c r="F559" t="s">
        <v>1562</v>
      </c>
      <c r="G559" t="s">
        <v>1647</v>
      </c>
      <c r="H559" s="4">
        <v>46066</v>
      </c>
      <c r="I559" t="s">
        <v>1965</v>
      </c>
    </row>
    <row r="560" spans="1:9" x14ac:dyDescent="0.25">
      <c r="A560" t="s">
        <v>1183</v>
      </c>
      <c r="B560" t="s">
        <v>1171</v>
      </c>
      <c r="C560" s="3">
        <v>200</v>
      </c>
      <c r="D560" t="s">
        <v>53</v>
      </c>
      <c r="E560">
        <v>548840</v>
      </c>
      <c r="F560" t="s">
        <v>1562</v>
      </c>
      <c r="G560" t="s">
        <v>1648</v>
      </c>
      <c r="H560" s="4">
        <v>46066</v>
      </c>
      <c r="I560" t="s">
        <v>1965</v>
      </c>
    </row>
    <row r="561" spans="1:9" x14ac:dyDescent="0.25">
      <c r="A561" t="s">
        <v>1182</v>
      </c>
      <c r="B561" t="s">
        <v>1171</v>
      </c>
      <c r="C561" s="3">
        <v>200</v>
      </c>
      <c r="D561" t="s">
        <v>53</v>
      </c>
      <c r="E561">
        <v>548841</v>
      </c>
      <c r="F561" t="s">
        <v>1562</v>
      </c>
      <c r="G561" t="s">
        <v>1649</v>
      </c>
      <c r="H561" s="4">
        <v>46066</v>
      </c>
      <c r="I561" t="s">
        <v>1965</v>
      </c>
    </row>
    <row r="562" spans="1:9" x14ac:dyDescent="0.25">
      <c r="A562" t="s">
        <v>1181</v>
      </c>
      <c r="B562" t="s">
        <v>1171</v>
      </c>
      <c r="C562" s="3">
        <v>250</v>
      </c>
      <c r="D562" t="s">
        <v>53</v>
      </c>
      <c r="E562">
        <v>548842</v>
      </c>
      <c r="F562" t="s">
        <v>1562</v>
      </c>
      <c r="G562" t="s">
        <v>1650</v>
      </c>
      <c r="H562" s="4">
        <v>46066</v>
      </c>
      <c r="I562" t="s">
        <v>1965</v>
      </c>
    </row>
    <row r="563" spans="1:9" x14ac:dyDescent="0.25">
      <c r="A563" t="s">
        <v>1180</v>
      </c>
      <c r="B563" t="s">
        <v>1171</v>
      </c>
      <c r="C563" s="3">
        <v>455</v>
      </c>
      <c r="D563" t="s">
        <v>53</v>
      </c>
      <c r="E563">
        <v>548843</v>
      </c>
      <c r="F563" t="s">
        <v>1562</v>
      </c>
      <c r="G563" t="s">
        <v>1651</v>
      </c>
      <c r="H563" s="4">
        <v>46066</v>
      </c>
      <c r="I563" t="s">
        <v>1965</v>
      </c>
    </row>
    <row r="564" spans="1:9" x14ac:dyDescent="0.25">
      <c r="A564" t="s">
        <v>1179</v>
      </c>
      <c r="B564" t="s">
        <v>1171</v>
      </c>
      <c r="C564" s="3">
        <v>200</v>
      </c>
      <c r="D564" t="s">
        <v>53</v>
      </c>
      <c r="E564">
        <v>548844</v>
      </c>
      <c r="F564" t="s">
        <v>1562</v>
      </c>
      <c r="G564" t="s">
        <v>1652</v>
      </c>
      <c r="H564" s="4">
        <v>46066</v>
      </c>
      <c r="I564" t="s">
        <v>1965</v>
      </c>
    </row>
    <row r="565" spans="1:9" x14ac:dyDescent="0.25">
      <c r="A565" t="s">
        <v>1178</v>
      </c>
      <c r="B565" t="s">
        <v>1171</v>
      </c>
      <c r="C565" s="3">
        <v>150</v>
      </c>
      <c r="D565" t="s">
        <v>53</v>
      </c>
      <c r="E565">
        <v>548845</v>
      </c>
      <c r="F565" t="s">
        <v>1562</v>
      </c>
      <c r="G565" t="s">
        <v>1653</v>
      </c>
      <c r="H565" s="4">
        <v>46066</v>
      </c>
      <c r="I565" t="s">
        <v>1965</v>
      </c>
    </row>
    <row r="566" spans="1:9" x14ac:dyDescent="0.25">
      <c r="A566" t="s">
        <v>1177</v>
      </c>
      <c r="B566" t="s">
        <v>1171</v>
      </c>
      <c r="C566" s="3">
        <v>160</v>
      </c>
      <c r="D566" t="s">
        <v>53</v>
      </c>
      <c r="E566">
        <v>548846</v>
      </c>
      <c r="F566" t="s">
        <v>1562</v>
      </c>
      <c r="G566" t="s">
        <v>1654</v>
      </c>
      <c r="H566" s="4">
        <v>46066</v>
      </c>
      <c r="I566" t="s">
        <v>1965</v>
      </c>
    </row>
    <row r="567" spans="1:9" x14ac:dyDescent="0.25">
      <c r="A567" t="s">
        <v>1176</v>
      </c>
      <c r="B567" t="s">
        <v>1171</v>
      </c>
      <c r="C567" s="3">
        <v>250</v>
      </c>
      <c r="D567" t="s">
        <v>53</v>
      </c>
      <c r="E567">
        <v>548847</v>
      </c>
      <c r="F567" t="s">
        <v>1562</v>
      </c>
      <c r="G567" t="s">
        <v>1655</v>
      </c>
      <c r="H567" s="4">
        <v>46066</v>
      </c>
      <c r="I567" t="s">
        <v>1965</v>
      </c>
    </row>
    <row r="568" spans="1:9" x14ac:dyDescent="0.25">
      <c r="A568" t="s">
        <v>1175</v>
      </c>
      <c r="B568" t="s">
        <v>1171</v>
      </c>
      <c r="C568" s="3">
        <v>160</v>
      </c>
      <c r="D568" t="s">
        <v>53</v>
      </c>
      <c r="E568">
        <v>548848</v>
      </c>
      <c r="F568" t="s">
        <v>1562</v>
      </c>
      <c r="G568" t="s">
        <v>1656</v>
      </c>
      <c r="H568" s="4">
        <v>46066</v>
      </c>
      <c r="I568" t="s">
        <v>1965</v>
      </c>
    </row>
    <row r="569" spans="1:9" x14ac:dyDescent="0.25">
      <c r="A569" t="s">
        <v>442</v>
      </c>
      <c r="B569" t="s">
        <v>1171</v>
      </c>
      <c r="C569" s="3">
        <v>260</v>
      </c>
      <c r="D569" t="s">
        <v>53</v>
      </c>
      <c r="E569">
        <v>548849</v>
      </c>
      <c r="F569" t="s">
        <v>1562</v>
      </c>
      <c r="G569" t="s">
        <v>1657</v>
      </c>
      <c r="H569" s="4">
        <v>46066</v>
      </c>
      <c r="I569" t="s">
        <v>1965</v>
      </c>
    </row>
    <row r="570" spans="1:9" x14ac:dyDescent="0.25">
      <c r="A570" t="s">
        <v>1174</v>
      </c>
      <c r="B570" t="s">
        <v>1171</v>
      </c>
      <c r="C570" s="3">
        <v>140</v>
      </c>
      <c r="D570" t="s">
        <v>53</v>
      </c>
      <c r="E570">
        <v>548850</v>
      </c>
      <c r="F570" t="s">
        <v>1562</v>
      </c>
      <c r="G570" t="s">
        <v>1658</v>
      </c>
      <c r="H570" s="4">
        <v>46066</v>
      </c>
      <c r="I570" t="s">
        <v>1965</v>
      </c>
    </row>
    <row r="571" spans="1:9" x14ac:dyDescent="0.25">
      <c r="A571" t="s">
        <v>1173</v>
      </c>
      <c r="B571" t="s">
        <v>1171</v>
      </c>
      <c r="C571" s="3">
        <v>200</v>
      </c>
      <c r="D571" t="s">
        <v>53</v>
      </c>
      <c r="E571">
        <v>548851</v>
      </c>
      <c r="F571" t="s">
        <v>1562</v>
      </c>
      <c r="G571" t="s">
        <v>1659</v>
      </c>
      <c r="H571" s="4">
        <v>46066</v>
      </c>
      <c r="I571" t="s">
        <v>1965</v>
      </c>
    </row>
    <row r="572" spans="1:9" x14ac:dyDescent="0.25">
      <c r="A572" t="s">
        <v>1172</v>
      </c>
      <c r="B572" t="s">
        <v>1171</v>
      </c>
      <c r="C572" s="3">
        <v>300</v>
      </c>
      <c r="D572" t="s">
        <v>53</v>
      </c>
      <c r="E572">
        <v>548852</v>
      </c>
      <c r="F572" t="s">
        <v>1562</v>
      </c>
      <c r="G572" t="s">
        <v>1660</v>
      </c>
      <c r="H572" s="4">
        <v>46066</v>
      </c>
      <c r="I572" t="s">
        <v>1965</v>
      </c>
    </row>
    <row r="573" spans="1:9" x14ac:dyDescent="0.25">
      <c r="A573" t="s">
        <v>1054</v>
      </c>
      <c r="B573" t="s">
        <v>1169</v>
      </c>
      <c r="C573" s="3">
        <v>2957.5</v>
      </c>
      <c r="D573" t="s">
        <v>2</v>
      </c>
      <c r="E573">
        <v>541319</v>
      </c>
      <c r="F573" t="s">
        <v>1562</v>
      </c>
      <c r="G573" t="s">
        <v>1661</v>
      </c>
      <c r="H573" s="4">
        <v>45884</v>
      </c>
      <c r="I573" t="s">
        <v>1965</v>
      </c>
    </row>
    <row r="574" spans="1:9" x14ac:dyDescent="0.25">
      <c r="A574" t="s">
        <v>1054</v>
      </c>
      <c r="B574" t="s">
        <v>1169</v>
      </c>
      <c r="C574" s="3">
        <v>2957.5</v>
      </c>
      <c r="D574" t="s">
        <v>2</v>
      </c>
      <c r="E574">
        <v>541373</v>
      </c>
      <c r="F574" t="s">
        <v>1562</v>
      </c>
      <c r="G574" t="s">
        <v>1662</v>
      </c>
      <c r="H574" s="4">
        <v>45888</v>
      </c>
      <c r="I574" t="s">
        <v>1965</v>
      </c>
    </row>
    <row r="575" spans="1:9" x14ac:dyDescent="0.25">
      <c r="A575" t="s">
        <v>32</v>
      </c>
      <c r="B575" t="s">
        <v>1169</v>
      </c>
      <c r="C575" s="3">
        <v>300</v>
      </c>
      <c r="D575" t="s">
        <v>2</v>
      </c>
      <c r="E575">
        <v>543246</v>
      </c>
      <c r="F575" t="s">
        <v>1562</v>
      </c>
      <c r="G575" t="s">
        <v>1664</v>
      </c>
      <c r="H575" s="4">
        <v>45933</v>
      </c>
      <c r="I575" t="s">
        <v>1965</v>
      </c>
    </row>
    <row r="576" spans="1:9" x14ac:dyDescent="0.25">
      <c r="A576" t="s">
        <v>1170</v>
      </c>
      <c r="B576" t="s">
        <v>1169</v>
      </c>
      <c r="C576" s="3">
        <v>313.85000000000002</v>
      </c>
      <c r="D576" t="s">
        <v>2</v>
      </c>
      <c r="E576">
        <v>543251</v>
      </c>
      <c r="F576" t="s">
        <v>1562</v>
      </c>
      <c r="H576" s="4">
        <v>45933</v>
      </c>
      <c r="I576" t="s">
        <v>1965</v>
      </c>
    </row>
    <row r="577" spans="1:9" x14ac:dyDescent="0.25">
      <c r="A577" t="s">
        <v>1170</v>
      </c>
      <c r="B577" t="s">
        <v>1169</v>
      </c>
      <c r="C577" s="3">
        <v>13.46</v>
      </c>
      <c r="D577" t="s">
        <v>2</v>
      </c>
      <c r="E577">
        <v>543258</v>
      </c>
      <c r="F577" t="s">
        <v>1562</v>
      </c>
      <c r="G577" t="s">
        <v>1663</v>
      </c>
      <c r="H577" s="4">
        <v>45933</v>
      </c>
      <c r="I577" t="s">
        <v>1965</v>
      </c>
    </row>
    <row r="578" spans="1:9" x14ac:dyDescent="0.25">
      <c r="A578" t="s">
        <v>2005</v>
      </c>
      <c r="B578" t="s">
        <v>1058</v>
      </c>
      <c r="C578" s="3">
        <v>170</v>
      </c>
      <c r="D578" t="s">
        <v>2</v>
      </c>
      <c r="E578">
        <v>541138</v>
      </c>
      <c r="F578" t="s">
        <v>1562</v>
      </c>
      <c r="H578" s="4">
        <v>45874</v>
      </c>
      <c r="I578" t="s">
        <v>1966</v>
      </c>
    </row>
    <row r="579" spans="1:9" x14ac:dyDescent="0.25">
      <c r="A579" t="s">
        <v>1124</v>
      </c>
      <c r="B579" t="s">
        <v>1058</v>
      </c>
      <c r="C579" s="3">
        <v>85</v>
      </c>
      <c r="D579" t="s">
        <v>2</v>
      </c>
      <c r="E579">
        <v>541116</v>
      </c>
      <c r="F579" t="s">
        <v>1562</v>
      </c>
      <c r="H579" s="4">
        <v>45874</v>
      </c>
      <c r="I579" t="s">
        <v>1966</v>
      </c>
    </row>
    <row r="580" spans="1:9" x14ac:dyDescent="0.25">
      <c r="A580" t="s">
        <v>1084</v>
      </c>
      <c r="B580" t="s">
        <v>1058</v>
      </c>
      <c r="C580" s="3">
        <v>680</v>
      </c>
      <c r="D580" t="s">
        <v>2</v>
      </c>
      <c r="E580">
        <v>541117</v>
      </c>
      <c r="F580" t="s">
        <v>1562</v>
      </c>
      <c r="H580" s="4">
        <v>45874</v>
      </c>
      <c r="I580" t="s">
        <v>1966</v>
      </c>
    </row>
    <row r="581" spans="1:9" x14ac:dyDescent="0.25">
      <c r="A581" t="s">
        <v>1123</v>
      </c>
      <c r="B581" t="s">
        <v>1058</v>
      </c>
      <c r="C581" s="3">
        <v>425</v>
      </c>
      <c r="D581" t="s">
        <v>2</v>
      </c>
      <c r="E581">
        <v>541143</v>
      </c>
      <c r="F581" t="s">
        <v>1562</v>
      </c>
      <c r="H581" s="4">
        <v>45875</v>
      </c>
      <c r="I581" t="s">
        <v>1966</v>
      </c>
    </row>
    <row r="582" spans="1:9" x14ac:dyDescent="0.25">
      <c r="A582" t="s">
        <v>1119</v>
      </c>
      <c r="B582" t="s">
        <v>1058</v>
      </c>
      <c r="C582" s="3">
        <v>445</v>
      </c>
      <c r="D582" t="s">
        <v>2</v>
      </c>
      <c r="E582">
        <v>541151</v>
      </c>
      <c r="F582" t="s">
        <v>1562</v>
      </c>
      <c r="H582" s="4">
        <v>45877</v>
      </c>
      <c r="I582" t="s">
        <v>1966</v>
      </c>
    </row>
    <row r="583" spans="1:9" x14ac:dyDescent="0.25">
      <c r="A583" t="s">
        <v>1095</v>
      </c>
      <c r="B583" t="s">
        <v>1058</v>
      </c>
      <c r="C583" s="3">
        <v>85</v>
      </c>
      <c r="D583" t="s">
        <v>2</v>
      </c>
      <c r="E583">
        <v>541152</v>
      </c>
      <c r="F583" t="s">
        <v>1562</v>
      </c>
      <c r="H583" s="4">
        <v>45877</v>
      </c>
      <c r="I583" t="s">
        <v>1966</v>
      </c>
    </row>
    <row r="584" spans="1:9" x14ac:dyDescent="0.25">
      <c r="A584" t="s">
        <v>1979</v>
      </c>
      <c r="B584" t="s">
        <v>1058</v>
      </c>
      <c r="C584" s="3">
        <v>2000</v>
      </c>
      <c r="D584" t="s">
        <v>2</v>
      </c>
      <c r="E584">
        <v>541153</v>
      </c>
      <c r="F584" t="s">
        <v>1562</v>
      </c>
      <c r="H584" s="4">
        <v>45877</v>
      </c>
      <c r="I584" t="s">
        <v>1966</v>
      </c>
    </row>
    <row r="585" spans="1:9" x14ac:dyDescent="0.25">
      <c r="A585" t="s">
        <v>1118</v>
      </c>
      <c r="B585" t="s">
        <v>1058</v>
      </c>
      <c r="C585" s="3">
        <v>680</v>
      </c>
      <c r="D585" t="s">
        <v>2</v>
      </c>
      <c r="E585">
        <v>541154</v>
      </c>
      <c r="F585" t="s">
        <v>1562</v>
      </c>
      <c r="H585" s="4">
        <v>45877</v>
      </c>
      <c r="I585" t="s">
        <v>1966</v>
      </c>
    </row>
    <row r="586" spans="1:9" x14ac:dyDescent="0.25">
      <c r="A586" t="s">
        <v>55</v>
      </c>
      <c r="B586" t="s">
        <v>1058</v>
      </c>
      <c r="C586" s="3">
        <v>85</v>
      </c>
      <c r="D586" t="s">
        <v>2</v>
      </c>
      <c r="E586">
        <v>541188</v>
      </c>
      <c r="F586" t="s">
        <v>1562</v>
      </c>
      <c r="H586" s="4">
        <v>45880</v>
      </c>
      <c r="I586" t="s">
        <v>1966</v>
      </c>
    </row>
    <row r="587" spans="1:9" x14ac:dyDescent="0.25">
      <c r="A587" t="s">
        <v>1122</v>
      </c>
      <c r="B587" t="s">
        <v>1058</v>
      </c>
      <c r="C587" s="3">
        <v>105</v>
      </c>
      <c r="D587" t="s">
        <v>2</v>
      </c>
      <c r="E587">
        <v>541189</v>
      </c>
      <c r="F587" t="s">
        <v>1562</v>
      </c>
      <c r="H587" s="4">
        <v>45880</v>
      </c>
      <c r="I587" t="s">
        <v>1966</v>
      </c>
    </row>
    <row r="588" spans="1:9" x14ac:dyDescent="0.25">
      <c r="A588" t="s">
        <v>1121</v>
      </c>
      <c r="B588" t="s">
        <v>1058</v>
      </c>
      <c r="C588" s="3">
        <v>1360</v>
      </c>
      <c r="D588" t="s">
        <v>2</v>
      </c>
      <c r="E588">
        <v>541190</v>
      </c>
      <c r="F588" t="s">
        <v>1562</v>
      </c>
      <c r="H588" s="4">
        <v>45880</v>
      </c>
      <c r="I588" t="s">
        <v>1966</v>
      </c>
    </row>
    <row r="589" spans="1:9" x14ac:dyDescent="0.25">
      <c r="A589" t="s">
        <v>1050</v>
      </c>
      <c r="B589" t="s">
        <v>1058</v>
      </c>
      <c r="C589" s="3">
        <v>510</v>
      </c>
      <c r="D589" t="s">
        <v>2</v>
      </c>
      <c r="E589">
        <v>541191</v>
      </c>
      <c r="F589" t="s">
        <v>1562</v>
      </c>
      <c r="H589" s="4">
        <v>45880</v>
      </c>
      <c r="I589" t="s">
        <v>1966</v>
      </c>
    </row>
    <row r="590" spans="1:9" x14ac:dyDescent="0.25">
      <c r="A590" t="s">
        <v>1120</v>
      </c>
      <c r="B590" t="s">
        <v>1058</v>
      </c>
      <c r="C590" s="3">
        <v>680</v>
      </c>
      <c r="D590" t="s">
        <v>2</v>
      </c>
      <c r="E590">
        <v>541192</v>
      </c>
      <c r="F590" t="s">
        <v>1562</v>
      </c>
      <c r="H590" s="4">
        <v>45880</v>
      </c>
      <c r="I590" t="s">
        <v>1966</v>
      </c>
    </row>
    <row r="591" spans="1:9" x14ac:dyDescent="0.25">
      <c r="A591" t="s">
        <v>1062</v>
      </c>
      <c r="B591" t="s">
        <v>1058</v>
      </c>
      <c r="C591" s="3">
        <v>250</v>
      </c>
      <c r="D591" t="s">
        <v>2</v>
      </c>
      <c r="E591">
        <v>541199</v>
      </c>
      <c r="F591" t="s">
        <v>1562</v>
      </c>
      <c r="H591" s="4">
        <v>45881</v>
      </c>
      <c r="I591" t="s">
        <v>1966</v>
      </c>
    </row>
    <row r="592" spans="1:9" x14ac:dyDescent="0.25">
      <c r="A592" t="s">
        <v>1117</v>
      </c>
      <c r="B592" t="s">
        <v>1058</v>
      </c>
      <c r="C592" s="3">
        <v>1000</v>
      </c>
      <c r="D592" t="s">
        <v>2</v>
      </c>
      <c r="E592">
        <v>541200</v>
      </c>
      <c r="F592" t="s">
        <v>1562</v>
      </c>
      <c r="H592" s="4">
        <v>45881</v>
      </c>
      <c r="I592" t="s">
        <v>1966</v>
      </c>
    </row>
    <row r="593" spans="1:9" x14ac:dyDescent="0.25">
      <c r="A593" t="s">
        <v>1116</v>
      </c>
      <c r="B593" t="s">
        <v>1058</v>
      </c>
      <c r="C593" s="3">
        <v>255</v>
      </c>
      <c r="D593" t="s">
        <v>2</v>
      </c>
      <c r="E593">
        <v>541201</v>
      </c>
      <c r="F593" t="s">
        <v>1562</v>
      </c>
      <c r="H593" s="4">
        <v>45881</v>
      </c>
      <c r="I593" t="s">
        <v>1966</v>
      </c>
    </row>
    <row r="594" spans="1:9" x14ac:dyDescent="0.25">
      <c r="A594" t="s">
        <v>1044</v>
      </c>
      <c r="B594" t="s">
        <v>1058</v>
      </c>
      <c r="C594" s="3">
        <v>115</v>
      </c>
      <c r="D594" t="s">
        <v>2</v>
      </c>
      <c r="E594">
        <v>541202</v>
      </c>
      <c r="F594" t="s">
        <v>1562</v>
      </c>
      <c r="H594" s="4">
        <v>45881</v>
      </c>
      <c r="I594" t="s">
        <v>1966</v>
      </c>
    </row>
    <row r="595" spans="1:9" x14ac:dyDescent="0.25">
      <c r="A595" t="s">
        <v>1115</v>
      </c>
      <c r="B595" t="s">
        <v>1058</v>
      </c>
      <c r="C595" s="3">
        <v>100</v>
      </c>
      <c r="D595" t="s">
        <v>2</v>
      </c>
      <c r="E595">
        <v>541203</v>
      </c>
      <c r="F595" t="s">
        <v>1562</v>
      </c>
      <c r="H595" s="4">
        <v>45881</v>
      </c>
      <c r="I595" t="s">
        <v>1966</v>
      </c>
    </row>
    <row r="596" spans="1:9" x14ac:dyDescent="0.25">
      <c r="A596" t="s">
        <v>24</v>
      </c>
      <c r="B596" t="s">
        <v>1058</v>
      </c>
      <c r="C596" s="3">
        <v>1060</v>
      </c>
      <c r="D596" t="s">
        <v>2</v>
      </c>
      <c r="E596">
        <v>541263</v>
      </c>
      <c r="F596" t="s">
        <v>1562</v>
      </c>
      <c r="H596" s="4">
        <v>45882</v>
      </c>
      <c r="I596" t="s">
        <v>1966</v>
      </c>
    </row>
    <row r="597" spans="1:9" x14ac:dyDescent="0.25">
      <c r="A597" t="s">
        <v>1053</v>
      </c>
      <c r="B597" t="s">
        <v>1058</v>
      </c>
      <c r="C597" s="3">
        <v>1066</v>
      </c>
      <c r="D597" t="s">
        <v>2</v>
      </c>
      <c r="E597">
        <v>541264</v>
      </c>
      <c r="F597" t="s">
        <v>1562</v>
      </c>
      <c r="H597" s="4">
        <v>45882</v>
      </c>
      <c r="I597" t="s">
        <v>1966</v>
      </c>
    </row>
    <row r="598" spans="1:9" x14ac:dyDescent="0.25">
      <c r="A598" t="s">
        <v>20</v>
      </c>
      <c r="B598" t="s">
        <v>1058</v>
      </c>
      <c r="C598" s="3">
        <v>680</v>
      </c>
      <c r="D598" t="s">
        <v>2</v>
      </c>
      <c r="E598">
        <v>541268</v>
      </c>
      <c r="F598" t="s">
        <v>1562</v>
      </c>
      <c r="H598" s="4">
        <v>45883</v>
      </c>
      <c r="I598" t="s">
        <v>1966</v>
      </c>
    </row>
    <row r="599" spans="1:9" x14ac:dyDescent="0.25">
      <c r="A599" t="s">
        <v>1167</v>
      </c>
      <c r="B599" t="s">
        <v>1058</v>
      </c>
      <c r="C599" s="3">
        <v>1000</v>
      </c>
      <c r="D599" t="s">
        <v>2</v>
      </c>
      <c r="E599">
        <v>541269</v>
      </c>
      <c r="F599" t="s">
        <v>1562</v>
      </c>
      <c r="H599" s="4">
        <v>45883</v>
      </c>
      <c r="I599" t="s">
        <v>1966</v>
      </c>
    </row>
    <row r="600" spans="1:9" x14ac:dyDescent="0.25">
      <c r="A600" t="s">
        <v>1166</v>
      </c>
      <c r="B600" t="s">
        <v>1058</v>
      </c>
      <c r="C600" s="3">
        <v>170</v>
      </c>
      <c r="D600" t="s">
        <v>2</v>
      </c>
      <c r="E600">
        <v>541270</v>
      </c>
      <c r="F600" t="s">
        <v>1562</v>
      </c>
      <c r="H600" s="4">
        <v>45883</v>
      </c>
      <c r="I600" t="s">
        <v>1966</v>
      </c>
    </row>
    <row r="601" spans="1:9" x14ac:dyDescent="0.25">
      <c r="A601" t="s">
        <v>25</v>
      </c>
      <c r="B601" t="s">
        <v>1058</v>
      </c>
      <c r="C601" s="3">
        <v>680</v>
      </c>
      <c r="D601" t="s">
        <v>2</v>
      </c>
      <c r="E601">
        <v>541271</v>
      </c>
      <c r="F601" t="s">
        <v>1562</v>
      </c>
      <c r="H601" s="4">
        <v>45883</v>
      </c>
      <c r="I601" t="s">
        <v>1966</v>
      </c>
    </row>
    <row r="602" spans="1:9" x14ac:dyDescent="0.25">
      <c r="A602" t="s">
        <v>1168</v>
      </c>
      <c r="B602" t="s">
        <v>1058</v>
      </c>
      <c r="C602" s="3">
        <v>3500</v>
      </c>
      <c r="D602" t="s">
        <v>17</v>
      </c>
      <c r="E602">
        <v>541249</v>
      </c>
      <c r="F602" t="s">
        <v>1562</v>
      </c>
      <c r="G602" t="s">
        <v>1665</v>
      </c>
      <c r="H602" s="4">
        <v>45887</v>
      </c>
      <c r="I602" t="s">
        <v>1966</v>
      </c>
    </row>
    <row r="603" spans="1:9" x14ac:dyDescent="0.25">
      <c r="A603" t="s">
        <v>1059</v>
      </c>
      <c r="B603" t="s">
        <v>1058</v>
      </c>
      <c r="C603" s="3">
        <v>500</v>
      </c>
      <c r="D603" t="s">
        <v>17</v>
      </c>
      <c r="E603">
        <v>541250</v>
      </c>
      <c r="F603" t="s">
        <v>1562</v>
      </c>
      <c r="G603" t="s">
        <v>1666</v>
      </c>
      <c r="H603" s="4">
        <v>45887</v>
      </c>
      <c r="I603" t="s">
        <v>1966</v>
      </c>
    </row>
    <row r="604" spans="1:9" x14ac:dyDescent="0.25">
      <c r="A604" t="s">
        <v>1165</v>
      </c>
      <c r="B604" t="s">
        <v>1058</v>
      </c>
      <c r="C604" s="3">
        <v>435</v>
      </c>
      <c r="D604" t="s">
        <v>2</v>
      </c>
      <c r="E604">
        <v>541276</v>
      </c>
      <c r="F604" t="s">
        <v>1562</v>
      </c>
      <c r="H604" s="4">
        <v>45887</v>
      </c>
      <c r="I604" t="s">
        <v>1966</v>
      </c>
    </row>
    <row r="605" spans="1:9" x14ac:dyDescent="0.25">
      <c r="A605" t="s">
        <v>1164</v>
      </c>
      <c r="B605" t="s">
        <v>1058</v>
      </c>
      <c r="C605" s="3">
        <v>680</v>
      </c>
      <c r="D605" t="s">
        <v>2</v>
      </c>
      <c r="E605">
        <v>541277</v>
      </c>
      <c r="F605" t="s">
        <v>1562</v>
      </c>
      <c r="H605" s="4">
        <v>45887</v>
      </c>
      <c r="I605" t="s">
        <v>1966</v>
      </c>
    </row>
    <row r="606" spans="1:9" x14ac:dyDescent="0.25">
      <c r="A606" t="s">
        <v>1029</v>
      </c>
      <c r="B606" t="s">
        <v>1058</v>
      </c>
      <c r="C606" s="3">
        <v>170</v>
      </c>
      <c r="D606" t="s">
        <v>2</v>
      </c>
      <c r="E606">
        <v>541408</v>
      </c>
      <c r="F606" t="s">
        <v>1562</v>
      </c>
      <c r="H606" s="4">
        <v>45888</v>
      </c>
      <c r="I606" t="s">
        <v>1966</v>
      </c>
    </row>
    <row r="607" spans="1:9" x14ac:dyDescent="0.25">
      <c r="A607" t="s">
        <v>181</v>
      </c>
      <c r="B607" t="s">
        <v>1058</v>
      </c>
      <c r="C607" s="3">
        <v>170</v>
      </c>
      <c r="D607" t="s">
        <v>2</v>
      </c>
      <c r="E607">
        <v>541409</v>
      </c>
      <c r="F607" t="s">
        <v>1562</v>
      </c>
      <c r="H607" s="4">
        <v>45888</v>
      </c>
      <c r="I607" t="s">
        <v>1966</v>
      </c>
    </row>
    <row r="608" spans="1:9" x14ac:dyDescent="0.25">
      <c r="A608" t="s">
        <v>1146</v>
      </c>
      <c r="B608" t="s">
        <v>1058</v>
      </c>
      <c r="C608" s="3">
        <v>340</v>
      </c>
      <c r="D608" t="s">
        <v>2</v>
      </c>
      <c r="E608">
        <v>541410</v>
      </c>
      <c r="F608" t="s">
        <v>1562</v>
      </c>
      <c r="H608" s="4">
        <v>45888</v>
      </c>
      <c r="I608" t="s">
        <v>1966</v>
      </c>
    </row>
    <row r="609" spans="1:9" x14ac:dyDescent="0.25">
      <c r="A609" t="s">
        <v>1163</v>
      </c>
      <c r="B609" t="s">
        <v>1058</v>
      </c>
      <c r="C609" s="3">
        <v>625</v>
      </c>
      <c r="D609" t="s">
        <v>2</v>
      </c>
      <c r="E609">
        <v>541411</v>
      </c>
      <c r="F609" t="s">
        <v>1562</v>
      </c>
      <c r="H609" s="4">
        <v>45889</v>
      </c>
      <c r="I609" t="s">
        <v>1966</v>
      </c>
    </row>
    <row r="610" spans="1:9" x14ac:dyDescent="0.25">
      <c r="A610" t="s">
        <v>1121</v>
      </c>
      <c r="B610" t="s">
        <v>1058</v>
      </c>
      <c r="C610" s="3">
        <v>85</v>
      </c>
      <c r="D610" t="s">
        <v>2</v>
      </c>
      <c r="E610">
        <v>541412</v>
      </c>
      <c r="F610" t="s">
        <v>1562</v>
      </c>
      <c r="H610" s="4">
        <v>45889</v>
      </c>
      <c r="I610" t="s">
        <v>1966</v>
      </c>
    </row>
    <row r="611" spans="1:9" x14ac:dyDescent="0.25">
      <c r="A611" t="s">
        <v>1162</v>
      </c>
      <c r="B611" t="s">
        <v>1058</v>
      </c>
      <c r="C611" s="3">
        <v>105</v>
      </c>
      <c r="D611" t="s">
        <v>2</v>
      </c>
      <c r="E611">
        <v>541413</v>
      </c>
      <c r="F611" t="s">
        <v>1562</v>
      </c>
      <c r="H611" s="4">
        <v>45889</v>
      </c>
      <c r="I611" t="s">
        <v>1966</v>
      </c>
    </row>
    <row r="612" spans="1:9" x14ac:dyDescent="0.25">
      <c r="A612" t="s">
        <v>1052</v>
      </c>
      <c r="B612" t="s">
        <v>1058</v>
      </c>
      <c r="C612" s="3">
        <v>382</v>
      </c>
      <c r="D612" t="s">
        <v>2</v>
      </c>
      <c r="E612">
        <v>541414</v>
      </c>
      <c r="F612" t="s">
        <v>1562</v>
      </c>
      <c r="H612" s="4">
        <v>45889</v>
      </c>
      <c r="I612" t="s">
        <v>1966</v>
      </c>
    </row>
    <row r="613" spans="1:9" x14ac:dyDescent="0.25">
      <c r="A613" t="s">
        <v>1161</v>
      </c>
      <c r="B613" t="s">
        <v>1058</v>
      </c>
      <c r="C613" s="3">
        <v>170</v>
      </c>
      <c r="D613" t="s">
        <v>2</v>
      </c>
      <c r="E613">
        <v>541415</v>
      </c>
      <c r="F613" t="s">
        <v>1562</v>
      </c>
      <c r="H613" s="4">
        <v>45889</v>
      </c>
      <c r="I613" t="s">
        <v>1966</v>
      </c>
    </row>
    <row r="614" spans="1:9" x14ac:dyDescent="0.25">
      <c r="A614" t="s">
        <v>33</v>
      </c>
      <c r="B614" t="s">
        <v>1058</v>
      </c>
      <c r="C614" s="3">
        <v>170</v>
      </c>
      <c r="D614" t="s">
        <v>2</v>
      </c>
      <c r="E614">
        <v>541416</v>
      </c>
      <c r="F614" t="s">
        <v>1562</v>
      </c>
      <c r="H614" s="4">
        <v>45889</v>
      </c>
      <c r="I614" t="s">
        <v>1966</v>
      </c>
    </row>
    <row r="615" spans="1:9" x14ac:dyDescent="0.25">
      <c r="A615" t="s">
        <v>1160</v>
      </c>
      <c r="B615" t="s">
        <v>1058</v>
      </c>
      <c r="C615" s="3">
        <v>200</v>
      </c>
      <c r="D615" t="s">
        <v>2</v>
      </c>
      <c r="E615">
        <v>541417</v>
      </c>
      <c r="F615" t="s">
        <v>1562</v>
      </c>
      <c r="H615" s="4">
        <v>45889</v>
      </c>
      <c r="I615" t="s">
        <v>1966</v>
      </c>
    </row>
    <row r="616" spans="1:9" x14ac:dyDescent="0.25">
      <c r="A616" t="s">
        <v>1159</v>
      </c>
      <c r="B616" t="s">
        <v>1058</v>
      </c>
      <c r="C616" s="3">
        <v>680</v>
      </c>
      <c r="D616" t="s">
        <v>2</v>
      </c>
      <c r="E616">
        <v>541418</v>
      </c>
      <c r="F616" t="s">
        <v>1562</v>
      </c>
      <c r="H616" s="4">
        <v>45889</v>
      </c>
      <c r="I616" t="s">
        <v>1966</v>
      </c>
    </row>
    <row r="617" spans="1:9" x14ac:dyDescent="0.25">
      <c r="A617" t="s">
        <v>1158</v>
      </c>
      <c r="B617" t="s">
        <v>1058</v>
      </c>
      <c r="C617" s="3">
        <v>170</v>
      </c>
      <c r="D617" t="s">
        <v>2</v>
      </c>
      <c r="E617">
        <v>541419</v>
      </c>
      <c r="F617" t="s">
        <v>1562</v>
      </c>
      <c r="H617" s="4">
        <v>45889</v>
      </c>
      <c r="I617" t="s">
        <v>1966</v>
      </c>
    </row>
    <row r="618" spans="1:9" x14ac:dyDescent="0.25">
      <c r="A618" t="s">
        <v>1149</v>
      </c>
      <c r="B618" t="s">
        <v>1058</v>
      </c>
      <c r="C618" s="3">
        <v>170</v>
      </c>
      <c r="D618" t="s">
        <v>2</v>
      </c>
      <c r="E618">
        <v>541438</v>
      </c>
      <c r="F618" t="s">
        <v>1562</v>
      </c>
      <c r="H618" s="4">
        <v>45889</v>
      </c>
      <c r="I618" t="s">
        <v>1966</v>
      </c>
    </row>
    <row r="619" spans="1:9" x14ac:dyDescent="0.25">
      <c r="A619" t="s">
        <v>1148</v>
      </c>
      <c r="B619" t="s">
        <v>1058</v>
      </c>
      <c r="C619" s="3">
        <v>170</v>
      </c>
      <c r="D619" t="s">
        <v>2</v>
      </c>
      <c r="E619">
        <v>541439</v>
      </c>
      <c r="F619" t="s">
        <v>1562</v>
      </c>
      <c r="H619" s="4">
        <v>45889</v>
      </c>
      <c r="I619" t="s">
        <v>1966</v>
      </c>
    </row>
    <row r="620" spans="1:9" x14ac:dyDescent="0.25">
      <c r="A620" t="s">
        <v>1147</v>
      </c>
      <c r="B620" t="s">
        <v>1058</v>
      </c>
      <c r="C620" s="3">
        <v>85</v>
      </c>
      <c r="D620" t="s">
        <v>2</v>
      </c>
      <c r="E620">
        <v>541440</v>
      </c>
      <c r="F620" t="s">
        <v>1562</v>
      </c>
      <c r="H620" s="4">
        <v>45894</v>
      </c>
      <c r="I620" t="s">
        <v>1966</v>
      </c>
    </row>
    <row r="621" spans="1:9" x14ac:dyDescent="0.25">
      <c r="A621" t="s">
        <v>1157</v>
      </c>
      <c r="B621" t="s">
        <v>1058</v>
      </c>
      <c r="C621" s="3">
        <v>200</v>
      </c>
      <c r="D621" t="s">
        <v>2</v>
      </c>
      <c r="E621">
        <v>541442</v>
      </c>
      <c r="F621" t="s">
        <v>1562</v>
      </c>
      <c r="H621" s="4">
        <v>45895</v>
      </c>
      <c r="I621" t="s">
        <v>1966</v>
      </c>
    </row>
    <row r="622" spans="1:9" x14ac:dyDescent="0.25">
      <c r="A622" t="s">
        <v>1156</v>
      </c>
      <c r="B622" t="s">
        <v>1058</v>
      </c>
      <c r="C622" s="3">
        <v>1000</v>
      </c>
      <c r="D622" t="s">
        <v>2</v>
      </c>
      <c r="E622">
        <v>541443</v>
      </c>
      <c r="F622" t="s">
        <v>1562</v>
      </c>
      <c r="H622" s="4">
        <v>45895</v>
      </c>
      <c r="I622" t="s">
        <v>1966</v>
      </c>
    </row>
    <row r="623" spans="1:9" x14ac:dyDescent="0.25">
      <c r="A623" t="s">
        <v>1155</v>
      </c>
      <c r="B623" t="s">
        <v>1058</v>
      </c>
      <c r="C623" s="3">
        <v>170</v>
      </c>
      <c r="D623" t="s">
        <v>2</v>
      </c>
      <c r="E623">
        <v>541444</v>
      </c>
      <c r="F623" t="s">
        <v>1562</v>
      </c>
      <c r="H623" s="4">
        <v>45895</v>
      </c>
      <c r="I623" t="s">
        <v>1966</v>
      </c>
    </row>
    <row r="624" spans="1:9" x14ac:dyDescent="0.25">
      <c r="A624" t="s">
        <v>1154</v>
      </c>
      <c r="B624" t="s">
        <v>1058</v>
      </c>
      <c r="C624" s="3">
        <v>255</v>
      </c>
      <c r="D624" t="s">
        <v>2</v>
      </c>
      <c r="E624">
        <v>541445</v>
      </c>
      <c r="F624" t="s">
        <v>1562</v>
      </c>
      <c r="H624" s="4">
        <v>45895</v>
      </c>
      <c r="I624" t="s">
        <v>1966</v>
      </c>
    </row>
    <row r="625" spans="1:9" x14ac:dyDescent="0.25">
      <c r="A625" t="s">
        <v>1153</v>
      </c>
      <c r="B625" t="s">
        <v>1058</v>
      </c>
      <c r="C625" s="3">
        <v>680</v>
      </c>
      <c r="D625" t="s">
        <v>2</v>
      </c>
      <c r="E625">
        <v>541446</v>
      </c>
      <c r="F625" t="s">
        <v>1562</v>
      </c>
      <c r="H625" s="4">
        <v>45896</v>
      </c>
      <c r="I625" t="s">
        <v>1966</v>
      </c>
    </row>
    <row r="626" spans="1:9" x14ac:dyDescent="0.25">
      <c r="A626" t="s">
        <v>1152</v>
      </c>
      <c r="B626" t="s">
        <v>1058</v>
      </c>
      <c r="C626" s="3">
        <v>85</v>
      </c>
      <c r="D626" t="s">
        <v>2</v>
      </c>
      <c r="E626">
        <v>541447</v>
      </c>
      <c r="F626" t="s">
        <v>1562</v>
      </c>
      <c r="H626" s="4">
        <v>45896</v>
      </c>
      <c r="I626" t="s">
        <v>1966</v>
      </c>
    </row>
    <row r="627" spans="1:9" x14ac:dyDescent="0.25">
      <c r="A627" t="s">
        <v>1151</v>
      </c>
      <c r="B627" t="s">
        <v>1058</v>
      </c>
      <c r="C627" s="3">
        <v>115</v>
      </c>
      <c r="D627" t="s">
        <v>2</v>
      </c>
      <c r="E627">
        <v>541448</v>
      </c>
      <c r="F627" t="s">
        <v>1562</v>
      </c>
      <c r="H627" s="4">
        <v>45896</v>
      </c>
      <c r="I627" t="s">
        <v>1966</v>
      </c>
    </row>
    <row r="628" spans="1:9" x14ac:dyDescent="0.25">
      <c r="A628" t="s">
        <v>1145</v>
      </c>
      <c r="B628" t="s">
        <v>1058</v>
      </c>
      <c r="C628" s="3">
        <v>236</v>
      </c>
      <c r="D628" t="s">
        <v>2</v>
      </c>
      <c r="E628">
        <v>542076</v>
      </c>
      <c r="F628" t="s">
        <v>1562</v>
      </c>
      <c r="H628" s="4">
        <v>45896</v>
      </c>
      <c r="I628" t="s">
        <v>1966</v>
      </c>
    </row>
    <row r="629" spans="1:9" x14ac:dyDescent="0.25">
      <c r="A629" t="s">
        <v>1144</v>
      </c>
      <c r="B629" t="s">
        <v>1058</v>
      </c>
      <c r="C629" s="3">
        <v>200</v>
      </c>
      <c r="D629" t="s">
        <v>2</v>
      </c>
      <c r="E629">
        <v>542077</v>
      </c>
      <c r="F629" t="s">
        <v>1562</v>
      </c>
      <c r="H629" s="4">
        <v>45896</v>
      </c>
      <c r="I629" t="s">
        <v>1966</v>
      </c>
    </row>
    <row r="630" spans="1:9" x14ac:dyDescent="0.25">
      <c r="A630" t="s">
        <v>1150</v>
      </c>
      <c r="B630" t="s">
        <v>1058</v>
      </c>
      <c r="C630" s="3">
        <v>2000</v>
      </c>
      <c r="D630" t="s">
        <v>17</v>
      </c>
      <c r="E630">
        <v>541841</v>
      </c>
      <c r="F630" t="s">
        <v>1562</v>
      </c>
      <c r="G630" t="s">
        <v>1667</v>
      </c>
      <c r="H630" s="4">
        <v>45897</v>
      </c>
      <c r="I630" t="s">
        <v>1966</v>
      </c>
    </row>
    <row r="631" spans="1:9" x14ac:dyDescent="0.25">
      <c r="A631" t="s">
        <v>1143</v>
      </c>
      <c r="B631" t="s">
        <v>1058</v>
      </c>
      <c r="C631" s="3">
        <v>170</v>
      </c>
      <c r="D631" t="s">
        <v>2</v>
      </c>
      <c r="E631">
        <v>542086</v>
      </c>
      <c r="F631" t="s">
        <v>1562</v>
      </c>
      <c r="H631" s="4">
        <v>45902</v>
      </c>
      <c r="I631" t="s">
        <v>1966</v>
      </c>
    </row>
    <row r="632" spans="1:9" x14ac:dyDescent="0.25">
      <c r="A632" t="s">
        <v>1142</v>
      </c>
      <c r="B632" t="s">
        <v>1058</v>
      </c>
      <c r="C632" s="3">
        <v>170</v>
      </c>
      <c r="D632" t="s">
        <v>2</v>
      </c>
      <c r="E632">
        <v>542087</v>
      </c>
      <c r="F632" t="s">
        <v>1562</v>
      </c>
      <c r="H632" s="4">
        <v>45902</v>
      </c>
      <c r="I632" t="s">
        <v>1966</v>
      </c>
    </row>
    <row r="633" spans="1:9" x14ac:dyDescent="0.25">
      <c r="A633" t="s">
        <v>1141</v>
      </c>
      <c r="B633" t="s">
        <v>1058</v>
      </c>
      <c r="C633" s="3">
        <v>170</v>
      </c>
      <c r="D633" t="s">
        <v>2</v>
      </c>
      <c r="E633">
        <v>542088</v>
      </c>
      <c r="F633" t="s">
        <v>1562</v>
      </c>
      <c r="H633" s="4">
        <v>45902</v>
      </c>
      <c r="I633" t="s">
        <v>1966</v>
      </c>
    </row>
    <row r="634" spans="1:9" x14ac:dyDescent="0.25">
      <c r="A634" t="s">
        <v>1140</v>
      </c>
      <c r="B634" t="s">
        <v>1058</v>
      </c>
      <c r="C634" s="3">
        <v>680</v>
      </c>
      <c r="D634" t="s">
        <v>2</v>
      </c>
      <c r="E634">
        <v>542089</v>
      </c>
      <c r="F634" t="s">
        <v>1562</v>
      </c>
      <c r="H634" s="4">
        <v>45902</v>
      </c>
      <c r="I634" t="s">
        <v>1966</v>
      </c>
    </row>
    <row r="635" spans="1:9" x14ac:dyDescent="0.25">
      <c r="A635" t="s">
        <v>1133</v>
      </c>
      <c r="B635" t="s">
        <v>1058</v>
      </c>
      <c r="C635" s="3">
        <v>170</v>
      </c>
      <c r="D635" t="s">
        <v>2</v>
      </c>
      <c r="E635">
        <v>542215</v>
      </c>
      <c r="F635" t="s">
        <v>1562</v>
      </c>
      <c r="H635" s="4">
        <v>45904</v>
      </c>
      <c r="I635" t="s">
        <v>1966</v>
      </c>
    </row>
    <row r="636" spans="1:9" x14ac:dyDescent="0.25">
      <c r="A636" t="s">
        <v>1040</v>
      </c>
      <c r="B636" t="s">
        <v>1058</v>
      </c>
      <c r="C636" s="3">
        <v>85</v>
      </c>
      <c r="D636" t="s">
        <v>2</v>
      </c>
      <c r="E636">
        <v>542216</v>
      </c>
      <c r="F636" t="s">
        <v>1562</v>
      </c>
      <c r="H636" s="4">
        <v>45904</v>
      </c>
      <c r="I636" t="s">
        <v>1966</v>
      </c>
    </row>
    <row r="637" spans="1:9" x14ac:dyDescent="0.25">
      <c r="A637" t="s">
        <v>1132</v>
      </c>
      <c r="B637" t="s">
        <v>1058</v>
      </c>
      <c r="C637" s="3">
        <v>680</v>
      </c>
      <c r="D637" t="s">
        <v>2</v>
      </c>
      <c r="E637">
        <v>542217</v>
      </c>
      <c r="F637" t="s">
        <v>1562</v>
      </c>
      <c r="H637" s="4">
        <v>45904</v>
      </c>
      <c r="I637" t="s">
        <v>1966</v>
      </c>
    </row>
    <row r="638" spans="1:9" x14ac:dyDescent="0.25">
      <c r="A638" t="s">
        <v>26</v>
      </c>
      <c r="B638" t="s">
        <v>1058</v>
      </c>
      <c r="C638" s="3">
        <v>85</v>
      </c>
      <c r="D638" t="s">
        <v>2</v>
      </c>
      <c r="E638">
        <v>542218</v>
      </c>
      <c r="F638" t="s">
        <v>1562</v>
      </c>
      <c r="H638" s="4">
        <v>45904</v>
      </c>
      <c r="I638" t="s">
        <v>1966</v>
      </c>
    </row>
    <row r="639" spans="1:9" x14ac:dyDescent="0.25">
      <c r="A639" t="s">
        <v>1131</v>
      </c>
      <c r="B639" t="s">
        <v>1058</v>
      </c>
      <c r="C639" s="3">
        <v>425</v>
      </c>
      <c r="D639" t="s">
        <v>2</v>
      </c>
      <c r="E639">
        <v>542219</v>
      </c>
      <c r="F639" t="s">
        <v>1562</v>
      </c>
      <c r="H639" s="4">
        <v>45904</v>
      </c>
      <c r="I639" t="s">
        <v>1966</v>
      </c>
    </row>
    <row r="640" spans="1:9" x14ac:dyDescent="0.25">
      <c r="A640" t="s">
        <v>1130</v>
      </c>
      <c r="B640" t="s">
        <v>1058</v>
      </c>
      <c r="C640" s="3">
        <v>85</v>
      </c>
      <c r="D640" t="s">
        <v>2</v>
      </c>
      <c r="E640">
        <v>542220</v>
      </c>
      <c r="F640" t="s">
        <v>1562</v>
      </c>
      <c r="H640" s="4">
        <v>45904</v>
      </c>
      <c r="I640" t="s">
        <v>1966</v>
      </c>
    </row>
    <row r="641" spans="1:9" x14ac:dyDescent="0.25">
      <c r="A641" t="s">
        <v>1035</v>
      </c>
      <c r="B641" t="s">
        <v>1058</v>
      </c>
      <c r="C641" s="3">
        <v>85</v>
      </c>
      <c r="D641" t="s">
        <v>2</v>
      </c>
      <c r="E641">
        <v>542221</v>
      </c>
      <c r="F641" t="s">
        <v>1562</v>
      </c>
      <c r="H641" s="4">
        <v>45904</v>
      </c>
      <c r="I641" t="s">
        <v>1966</v>
      </c>
    </row>
    <row r="642" spans="1:9" x14ac:dyDescent="0.25">
      <c r="A642" t="s">
        <v>1129</v>
      </c>
      <c r="B642" t="s">
        <v>1058</v>
      </c>
      <c r="C642" s="3">
        <v>680</v>
      </c>
      <c r="D642" t="s">
        <v>2</v>
      </c>
      <c r="E642">
        <v>542222</v>
      </c>
      <c r="F642" t="s">
        <v>1562</v>
      </c>
      <c r="H642" s="4">
        <v>45904</v>
      </c>
      <c r="I642" t="s">
        <v>1966</v>
      </c>
    </row>
    <row r="643" spans="1:9" x14ac:dyDescent="0.25">
      <c r="A643" t="s">
        <v>1128</v>
      </c>
      <c r="B643" t="s">
        <v>1058</v>
      </c>
      <c r="C643" s="3">
        <v>340</v>
      </c>
      <c r="D643" t="s">
        <v>2</v>
      </c>
      <c r="E643">
        <v>542223</v>
      </c>
      <c r="F643" t="s">
        <v>1562</v>
      </c>
      <c r="H643" s="4">
        <v>45904</v>
      </c>
      <c r="I643" t="s">
        <v>1966</v>
      </c>
    </row>
    <row r="644" spans="1:9" x14ac:dyDescent="0.25">
      <c r="A644" t="s">
        <v>1127</v>
      </c>
      <c r="B644" t="s">
        <v>1058</v>
      </c>
      <c r="C644" s="3">
        <v>680</v>
      </c>
      <c r="D644" t="s">
        <v>2</v>
      </c>
      <c r="E644">
        <v>542224</v>
      </c>
      <c r="F644" t="s">
        <v>1562</v>
      </c>
      <c r="H644" s="4">
        <v>45905</v>
      </c>
      <c r="I644" t="s">
        <v>1966</v>
      </c>
    </row>
    <row r="645" spans="1:9" x14ac:dyDescent="0.25">
      <c r="A645" t="s">
        <v>1126</v>
      </c>
      <c r="B645" t="s">
        <v>1058</v>
      </c>
      <c r="C645" s="3">
        <v>170</v>
      </c>
      <c r="D645" t="s">
        <v>2</v>
      </c>
      <c r="E645">
        <v>542225</v>
      </c>
      <c r="F645" t="s">
        <v>1562</v>
      </c>
      <c r="H645" s="4">
        <v>45908</v>
      </c>
      <c r="I645" t="s">
        <v>1966</v>
      </c>
    </row>
    <row r="646" spans="1:9" x14ac:dyDescent="0.25">
      <c r="A646" t="s">
        <v>1125</v>
      </c>
      <c r="B646" t="s">
        <v>1058</v>
      </c>
      <c r="C646" s="3">
        <v>115</v>
      </c>
      <c r="D646" t="s">
        <v>2</v>
      </c>
      <c r="E646">
        <v>542226</v>
      </c>
      <c r="F646" t="s">
        <v>1562</v>
      </c>
      <c r="H646" s="4">
        <v>45908</v>
      </c>
      <c r="I646" t="s">
        <v>1966</v>
      </c>
    </row>
    <row r="647" spans="1:9" x14ac:dyDescent="0.25">
      <c r="A647" t="s">
        <v>346</v>
      </c>
      <c r="B647" t="s">
        <v>1058</v>
      </c>
      <c r="C647" s="3">
        <v>7500</v>
      </c>
      <c r="D647" t="s">
        <v>17</v>
      </c>
      <c r="E647">
        <v>542188</v>
      </c>
      <c r="F647" t="s">
        <v>1562</v>
      </c>
      <c r="G647" t="s">
        <v>1631</v>
      </c>
      <c r="H647" s="4">
        <v>45908</v>
      </c>
      <c r="I647" t="s">
        <v>1966</v>
      </c>
    </row>
    <row r="648" spans="1:9" x14ac:dyDescent="0.25">
      <c r="A648" t="s">
        <v>1078</v>
      </c>
      <c r="B648" t="s">
        <v>1058</v>
      </c>
      <c r="C648" s="3">
        <v>170</v>
      </c>
      <c r="D648" t="s">
        <v>2</v>
      </c>
      <c r="E648">
        <v>542311</v>
      </c>
      <c r="F648" t="s">
        <v>1562</v>
      </c>
      <c r="H648" s="4">
        <v>45909</v>
      </c>
      <c r="I648" t="s">
        <v>1966</v>
      </c>
    </row>
    <row r="649" spans="1:9" x14ac:dyDescent="0.25">
      <c r="A649" t="s">
        <v>1137</v>
      </c>
      <c r="B649" t="s">
        <v>1058</v>
      </c>
      <c r="C649" s="3">
        <v>680</v>
      </c>
      <c r="D649" t="s">
        <v>2</v>
      </c>
      <c r="E649">
        <v>542312</v>
      </c>
      <c r="F649" t="s">
        <v>1562</v>
      </c>
      <c r="H649" s="4">
        <v>45910</v>
      </c>
      <c r="I649" t="s">
        <v>1966</v>
      </c>
    </row>
    <row r="650" spans="1:9" x14ac:dyDescent="0.25">
      <c r="A650" t="s">
        <v>1136</v>
      </c>
      <c r="B650" t="s">
        <v>1058</v>
      </c>
      <c r="C650" s="3">
        <v>236</v>
      </c>
      <c r="D650" t="s">
        <v>2</v>
      </c>
      <c r="E650">
        <v>542313</v>
      </c>
      <c r="F650" t="s">
        <v>1562</v>
      </c>
      <c r="H650" s="4">
        <v>45910</v>
      </c>
      <c r="I650" t="s">
        <v>1966</v>
      </c>
    </row>
    <row r="651" spans="1:9" x14ac:dyDescent="0.25">
      <c r="A651" t="s">
        <v>1041</v>
      </c>
      <c r="B651" t="s">
        <v>1058</v>
      </c>
      <c r="C651" s="3">
        <v>170</v>
      </c>
      <c r="D651" t="s">
        <v>2</v>
      </c>
      <c r="E651">
        <v>542314</v>
      </c>
      <c r="F651" t="s">
        <v>1562</v>
      </c>
      <c r="H651" s="4">
        <v>45910</v>
      </c>
      <c r="I651" t="s">
        <v>1966</v>
      </c>
    </row>
    <row r="652" spans="1:9" x14ac:dyDescent="0.25">
      <c r="A652" t="s">
        <v>1135</v>
      </c>
      <c r="B652" t="s">
        <v>1058</v>
      </c>
      <c r="C652" s="3">
        <v>255</v>
      </c>
      <c r="D652" t="s">
        <v>2</v>
      </c>
      <c r="E652">
        <v>542315</v>
      </c>
      <c r="F652" t="s">
        <v>1562</v>
      </c>
      <c r="H652" s="4">
        <v>45911</v>
      </c>
      <c r="I652" t="s">
        <v>1966</v>
      </c>
    </row>
    <row r="653" spans="1:9" x14ac:dyDescent="0.25">
      <c r="A653" t="s">
        <v>1134</v>
      </c>
      <c r="B653" t="s">
        <v>1058</v>
      </c>
      <c r="C653" s="3">
        <v>30</v>
      </c>
      <c r="D653" t="s">
        <v>2</v>
      </c>
      <c r="E653">
        <v>542316</v>
      </c>
      <c r="F653" t="s">
        <v>1562</v>
      </c>
      <c r="H653" s="4">
        <v>45911</v>
      </c>
      <c r="I653" t="s">
        <v>1966</v>
      </c>
    </row>
    <row r="654" spans="1:9" x14ac:dyDescent="0.25">
      <c r="A654" t="s">
        <v>56</v>
      </c>
      <c r="B654" t="s">
        <v>1058</v>
      </c>
      <c r="C654" s="3">
        <v>170</v>
      </c>
      <c r="D654" t="s">
        <v>2</v>
      </c>
      <c r="E654">
        <v>542318</v>
      </c>
      <c r="F654" t="s">
        <v>1562</v>
      </c>
      <c r="H654" s="4">
        <v>45912</v>
      </c>
      <c r="I654" t="s">
        <v>1966</v>
      </c>
    </row>
    <row r="655" spans="1:9" x14ac:dyDescent="0.25">
      <c r="A655" t="s">
        <v>1043</v>
      </c>
      <c r="B655" t="s">
        <v>1058</v>
      </c>
      <c r="C655" s="3">
        <v>315</v>
      </c>
      <c r="D655" t="s">
        <v>2</v>
      </c>
      <c r="E655">
        <v>542319</v>
      </c>
      <c r="F655" t="s">
        <v>1562</v>
      </c>
      <c r="H655" s="4">
        <v>45915</v>
      </c>
      <c r="I655" t="s">
        <v>1966</v>
      </c>
    </row>
    <row r="656" spans="1:9" x14ac:dyDescent="0.25">
      <c r="A656" t="s">
        <v>1139</v>
      </c>
      <c r="B656" t="s">
        <v>1058</v>
      </c>
      <c r="C656" s="3">
        <v>85</v>
      </c>
      <c r="D656" t="s">
        <v>2</v>
      </c>
      <c r="E656">
        <v>542320</v>
      </c>
      <c r="F656" t="s">
        <v>1562</v>
      </c>
      <c r="H656" s="4">
        <v>45915</v>
      </c>
      <c r="I656" t="s">
        <v>1966</v>
      </c>
    </row>
    <row r="657" spans="1:9" x14ac:dyDescent="0.25">
      <c r="A657" t="s">
        <v>1138</v>
      </c>
      <c r="B657" t="s">
        <v>1058</v>
      </c>
      <c r="C657" s="3">
        <v>340</v>
      </c>
      <c r="D657" t="s">
        <v>2</v>
      </c>
      <c r="E657">
        <v>542321</v>
      </c>
      <c r="F657" t="s">
        <v>1562</v>
      </c>
      <c r="H657" s="4">
        <v>45915</v>
      </c>
      <c r="I657" t="s">
        <v>1966</v>
      </c>
    </row>
    <row r="658" spans="1:9" x14ac:dyDescent="0.25">
      <c r="A658" t="s">
        <v>1099</v>
      </c>
      <c r="B658" t="s">
        <v>1058</v>
      </c>
      <c r="C658" s="3">
        <v>85</v>
      </c>
      <c r="D658" t="s">
        <v>2</v>
      </c>
      <c r="E658">
        <v>542967</v>
      </c>
      <c r="F658" t="s">
        <v>1562</v>
      </c>
      <c r="H658" s="4">
        <v>45917</v>
      </c>
      <c r="I658" t="s">
        <v>1966</v>
      </c>
    </row>
    <row r="659" spans="1:9" x14ac:dyDescent="0.25">
      <c r="A659" t="s">
        <v>1088</v>
      </c>
      <c r="B659" t="s">
        <v>1058</v>
      </c>
      <c r="C659" s="3">
        <v>255</v>
      </c>
      <c r="D659" t="s">
        <v>2</v>
      </c>
      <c r="E659">
        <v>542968</v>
      </c>
      <c r="F659" t="s">
        <v>1562</v>
      </c>
      <c r="H659" s="4">
        <v>45917</v>
      </c>
      <c r="I659" t="s">
        <v>1966</v>
      </c>
    </row>
    <row r="660" spans="1:9" x14ac:dyDescent="0.25">
      <c r="A660" t="s">
        <v>1098</v>
      </c>
      <c r="B660" t="s">
        <v>1058</v>
      </c>
      <c r="C660" s="3">
        <v>680</v>
      </c>
      <c r="D660" t="s">
        <v>2</v>
      </c>
      <c r="E660">
        <v>542969</v>
      </c>
      <c r="F660" t="s">
        <v>1562</v>
      </c>
      <c r="H660" s="4">
        <v>45917</v>
      </c>
      <c r="I660" t="s">
        <v>1966</v>
      </c>
    </row>
    <row r="661" spans="1:9" x14ac:dyDescent="0.25">
      <c r="A661" t="s">
        <v>1097</v>
      </c>
      <c r="B661" t="s">
        <v>1058</v>
      </c>
      <c r="C661" s="3">
        <v>85</v>
      </c>
      <c r="D661" t="s">
        <v>2</v>
      </c>
      <c r="E661">
        <v>542970</v>
      </c>
      <c r="F661" t="s">
        <v>1562</v>
      </c>
      <c r="H661" s="4">
        <v>45919</v>
      </c>
      <c r="I661" t="s">
        <v>1966</v>
      </c>
    </row>
    <row r="662" spans="1:9" x14ac:dyDescent="0.25">
      <c r="A662" t="s">
        <v>58</v>
      </c>
      <c r="B662" t="s">
        <v>1058</v>
      </c>
      <c r="C662" s="3">
        <v>170</v>
      </c>
      <c r="D662" t="s">
        <v>2</v>
      </c>
      <c r="E662">
        <v>542971</v>
      </c>
      <c r="F662" t="s">
        <v>1562</v>
      </c>
      <c r="H662" s="4">
        <v>45919</v>
      </c>
      <c r="I662" t="s">
        <v>1966</v>
      </c>
    </row>
    <row r="663" spans="1:9" x14ac:dyDescent="0.25">
      <c r="A663" t="s">
        <v>1096</v>
      </c>
      <c r="B663" t="s">
        <v>1058</v>
      </c>
      <c r="C663" s="3">
        <v>680</v>
      </c>
      <c r="D663" t="s">
        <v>2</v>
      </c>
      <c r="E663">
        <v>542972</v>
      </c>
      <c r="F663" t="s">
        <v>1562</v>
      </c>
      <c r="H663" s="4">
        <v>45919</v>
      </c>
      <c r="I663" t="s">
        <v>1966</v>
      </c>
    </row>
    <row r="664" spans="1:9" x14ac:dyDescent="0.25">
      <c r="A664" t="s">
        <v>1095</v>
      </c>
      <c r="B664" t="s">
        <v>1058</v>
      </c>
      <c r="C664" s="3">
        <v>85</v>
      </c>
      <c r="D664" t="s">
        <v>2</v>
      </c>
      <c r="E664">
        <v>542973</v>
      </c>
      <c r="F664" t="s">
        <v>1562</v>
      </c>
      <c r="H664" s="4">
        <v>45919</v>
      </c>
      <c r="I664" t="s">
        <v>1966</v>
      </c>
    </row>
    <row r="665" spans="1:9" x14ac:dyDescent="0.25">
      <c r="A665" t="s">
        <v>28</v>
      </c>
      <c r="B665" t="s">
        <v>1058</v>
      </c>
      <c r="C665" s="3">
        <v>85</v>
      </c>
      <c r="D665" t="s">
        <v>2</v>
      </c>
      <c r="E665">
        <v>542974</v>
      </c>
      <c r="F665" t="s">
        <v>1562</v>
      </c>
      <c r="H665" s="4">
        <v>45919</v>
      </c>
      <c r="I665" t="s">
        <v>1966</v>
      </c>
    </row>
    <row r="666" spans="1:9" x14ac:dyDescent="0.25">
      <c r="A666" t="s">
        <v>1056</v>
      </c>
      <c r="B666" t="s">
        <v>1058</v>
      </c>
      <c r="C666" s="3">
        <v>85</v>
      </c>
      <c r="D666" t="s">
        <v>2</v>
      </c>
      <c r="E666">
        <v>542975</v>
      </c>
      <c r="F666" t="s">
        <v>1562</v>
      </c>
      <c r="H666" s="4">
        <v>45919</v>
      </c>
      <c r="I666" t="s">
        <v>1966</v>
      </c>
    </row>
    <row r="667" spans="1:9" x14ac:dyDescent="0.25">
      <c r="A667" t="s">
        <v>1094</v>
      </c>
      <c r="B667" t="s">
        <v>1058</v>
      </c>
      <c r="C667" s="3">
        <v>85</v>
      </c>
      <c r="D667" t="s">
        <v>2</v>
      </c>
      <c r="E667">
        <v>542976</v>
      </c>
      <c r="F667" t="s">
        <v>1562</v>
      </c>
      <c r="H667" s="4">
        <v>45919</v>
      </c>
      <c r="I667" t="s">
        <v>1966</v>
      </c>
    </row>
    <row r="668" spans="1:9" x14ac:dyDescent="0.25">
      <c r="A668" t="s">
        <v>1092</v>
      </c>
      <c r="B668" t="s">
        <v>1058</v>
      </c>
      <c r="C668" s="3">
        <v>170</v>
      </c>
      <c r="D668" t="s">
        <v>2</v>
      </c>
      <c r="E668">
        <v>542983</v>
      </c>
      <c r="F668" t="s">
        <v>1562</v>
      </c>
      <c r="H668" s="4">
        <v>45923</v>
      </c>
      <c r="I668" t="s">
        <v>1966</v>
      </c>
    </row>
    <row r="669" spans="1:9" x14ac:dyDescent="0.25">
      <c r="A669" t="s">
        <v>1091</v>
      </c>
      <c r="B669" t="s">
        <v>1058</v>
      </c>
      <c r="C669" s="3">
        <v>420</v>
      </c>
      <c r="D669" t="s">
        <v>2</v>
      </c>
      <c r="E669">
        <v>542984</v>
      </c>
      <c r="F669" t="s">
        <v>1562</v>
      </c>
      <c r="H669" s="4">
        <v>45923</v>
      </c>
      <c r="I669" t="s">
        <v>1966</v>
      </c>
    </row>
    <row r="670" spans="1:9" x14ac:dyDescent="0.25">
      <c r="A670" t="s">
        <v>23</v>
      </c>
      <c r="B670" t="s">
        <v>1058</v>
      </c>
      <c r="C670" s="3">
        <v>680</v>
      </c>
      <c r="D670" t="s">
        <v>2</v>
      </c>
      <c r="E670">
        <v>542985</v>
      </c>
      <c r="F670" t="s">
        <v>1562</v>
      </c>
      <c r="H670" s="4">
        <v>45924</v>
      </c>
      <c r="I670" t="s">
        <v>1966</v>
      </c>
    </row>
    <row r="671" spans="1:9" x14ac:dyDescent="0.25">
      <c r="A671" t="s">
        <v>1090</v>
      </c>
      <c r="B671" t="s">
        <v>1058</v>
      </c>
      <c r="C671" s="3">
        <v>840</v>
      </c>
      <c r="D671" t="s">
        <v>2</v>
      </c>
      <c r="E671">
        <v>542986</v>
      </c>
      <c r="F671" t="s">
        <v>1562</v>
      </c>
      <c r="H671" s="4">
        <v>45924</v>
      </c>
      <c r="I671" t="s">
        <v>1966</v>
      </c>
    </row>
    <row r="672" spans="1:9" x14ac:dyDescent="0.25">
      <c r="A672" t="s">
        <v>1089</v>
      </c>
      <c r="B672" t="s">
        <v>1058</v>
      </c>
      <c r="C672" s="3">
        <v>85</v>
      </c>
      <c r="D672" t="s">
        <v>2</v>
      </c>
      <c r="E672">
        <v>542987</v>
      </c>
      <c r="F672" t="s">
        <v>1562</v>
      </c>
      <c r="H672" s="4">
        <v>45924</v>
      </c>
      <c r="I672" t="s">
        <v>1966</v>
      </c>
    </row>
    <row r="673" spans="1:9" x14ac:dyDescent="0.25">
      <c r="A673" t="s">
        <v>1088</v>
      </c>
      <c r="B673" t="s">
        <v>1058</v>
      </c>
      <c r="C673" s="3">
        <v>85</v>
      </c>
      <c r="D673" t="s">
        <v>2</v>
      </c>
      <c r="E673">
        <v>542988</v>
      </c>
      <c r="F673" t="s">
        <v>1562</v>
      </c>
      <c r="H673" s="4">
        <v>45924</v>
      </c>
      <c r="I673" t="s">
        <v>1966</v>
      </c>
    </row>
    <row r="674" spans="1:9" x14ac:dyDescent="0.25">
      <c r="A674" t="s">
        <v>1087</v>
      </c>
      <c r="B674" t="s">
        <v>1058</v>
      </c>
      <c r="C674" s="3">
        <v>255</v>
      </c>
      <c r="D674" t="s">
        <v>2</v>
      </c>
      <c r="E674">
        <v>542989</v>
      </c>
      <c r="F674" t="s">
        <v>1562</v>
      </c>
      <c r="H674" s="4">
        <v>45924</v>
      </c>
      <c r="I674" t="s">
        <v>1966</v>
      </c>
    </row>
    <row r="675" spans="1:9" x14ac:dyDescent="0.25">
      <c r="A675" t="s">
        <v>1086</v>
      </c>
      <c r="B675" t="s">
        <v>1058</v>
      </c>
      <c r="C675" s="3">
        <v>1250</v>
      </c>
      <c r="D675" t="s">
        <v>2</v>
      </c>
      <c r="E675">
        <v>542990</v>
      </c>
      <c r="F675" t="s">
        <v>1562</v>
      </c>
      <c r="H675" s="4">
        <v>45924</v>
      </c>
      <c r="I675" t="s">
        <v>1966</v>
      </c>
    </row>
    <row r="676" spans="1:9" x14ac:dyDescent="0.25">
      <c r="A676" t="s">
        <v>1093</v>
      </c>
      <c r="B676" t="s">
        <v>1058</v>
      </c>
      <c r="C676" s="3">
        <v>600</v>
      </c>
      <c r="D676" t="s">
        <v>17</v>
      </c>
      <c r="E676">
        <v>542964</v>
      </c>
      <c r="F676" t="s">
        <v>1562</v>
      </c>
      <c r="G676" t="s">
        <v>1668</v>
      </c>
      <c r="H676" s="4">
        <v>45925</v>
      </c>
      <c r="I676" t="s">
        <v>1966</v>
      </c>
    </row>
    <row r="677" spans="1:9" x14ac:dyDescent="0.25">
      <c r="A677" t="s">
        <v>1100</v>
      </c>
      <c r="B677" t="s">
        <v>1058</v>
      </c>
      <c r="C677" s="3">
        <v>170</v>
      </c>
      <c r="D677" t="s">
        <v>2</v>
      </c>
      <c r="E677">
        <v>543019</v>
      </c>
      <c r="F677" t="s">
        <v>1562</v>
      </c>
      <c r="H677" s="4">
        <v>45925</v>
      </c>
      <c r="I677" t="s">
        <v>1966</v>
      </c>
    </row>
    <row r="678" spans="1:9" x14ac:dyDescent="0.25">
      <c r="A678" t="s">
        <v>1104</v>
      </c>
      <c r="B678" t="s">
        <v>1058</v>
      </c>
      <c r="C678" s="3">
        <v>170</v>
      </c>
      <c r="D678" t="s">
        <v>2</v>
      </c>
      <c r="E678">
        <v>543228</v>
      </c>
      <c r="F678" t="s">
        <v>1562</v>
      </c>
      <c r="G678" t="s">
        <v>1669</v>
      </c>
      <c r="H678" s="4">
        <v>45931</v>
      </c>
      <c r="I678" t="s">
        <v>1966</v>
      </c>
    </row>
    <row r="679" spans="1:9" x14ac:dyDescent="0.25">
      <c r="A679" t="s">
        <v>1111</v>
      </c>
      <c r="B679" t="s">
        <v>1058</v>
      </c>
      <c r="C679" s="3">
        <v>170</v>
      </c>
      <c r="D679" t="s">
        <v>2</v>
      </c>
      <c r="E679">
        <v>543280</v>
      </c>
      <c r="F679" t="s">
        <v>1562</v>
      </c>
      <c r="H679" s="4">
        <v>45931</v>
      </c>
      <c r="I679" t="s">
        <v>1966</v>
      </c>
    </row>
    <row r="680" spans="1:9" x14ac:dyDescent="0.25">
      <c r="A680" t="s">
        <v>1110</v>
      </c>
      <c r="B680" t="s">
        <v>1058</v>
      </c>
      <c r="C680" s="3">
        <v>85</v>
      </c>
      <c r="D680" t="s">
        <v>2</v>
      </c>
      <c r="E680">
        <v>543281</v>
      </c>
      <c r="F680" t="s">
        <v>1562</v>
      </c>
      <c r="H680" s="4">
        <v>45931</v>
      </c>
      <c r="I680" t="s">
        <v>1966</v>
      </c>
    </row>
    <row r="681" spans="1:9" x14ac:dyDescent="0.25">
      <c r="A681" t="s">
        <v>1109</v>
      </c>
      <c r="B681" t="s">
        <v>1058</v>
      </c>
      <c r="C681" s="3">
        <v>85</v>
      </c>
      <c r="D681" t="s">
        <v>2</v>
      </c>
      <c r="E681">
        <v>543282</v>
      </c>
      <c r="F681" t="s">
        <v>1562</v>
      </c>
      <c r="H681" s="4">
        <v>45931</v>
      </c>
      <c r="I681" t="s">
        <v>1966</v>
      </c>
    </row>
    <row r="682" spans="1:9" x14ac:dyDescent="0.25">
      <c r="A682" t="s">
        <v>1108</v>
      </c>
      <c r="B682" t="s">
        <v>1058</v>
      </c>
      <c r="C682" s="3">
        <v>85</v>
      </c>
      <c r="D682" t="s">
        <v>2</v>
      </c>
      <c r="E682">
        <v>543283</v>
      </c>
      <c r="F682" t="s">
        <v>1562</v>
      </c>
      <c r="H682" s="4">
        <v>45931</v>
      </c>
      <c r="I682" t="s">
        <v>1966</v>
      </c>
    </row>
    <row r="683" spans="1:9" x14ac:dyDescent="0.25">
      <c r="A683" t="s">
        <v>1107</v>
      </c>
      <c r="B683" t="s">
        <v>1058</v>
      </c>
      <c r="C683" s="3">
        <v>170</v>
      </c>
      <c r="D683" t="s">
        <v>2</v>
      </c>
      <c r="E683">
        <v>543284</v>
      </c>
      <c r="F683" t="s">
        <v>1562</v>
      </c>
      <c r="H683" s="4">
        <v>45931</v>
      </c>
      <c r="I683" t="s">
        <v>1966</v>
      </c>
    </row>
    <row r="684" spans="1:9" x14ac:dyDescent="0.25">
      <c r="A684" t="s">
        <v>1114</v>
      </c>
      <c r="B684" t="s">
        <v>1058</v>
      </c>
      <c r="C684" s="3">
        <v>500</v>
      </c>
      <c r="D684" t="s">
        <v>17</v>
      </c>
      <c r="E684">
        <v>543233</v>
      </c>
      <c r="F684" t="s">
        <v>1562</v>
      </c>
      <c r="G684" t="s">
        <v>1670</v>
      </c>
      <c r="H684" s="4">
        <v>45932</v>
      </c>
      <c r="I684" t="s">
        <v>1966</v>
      </c>
    </row>
    <row r="685" spans="1:9" x14ac:dyDescent="0.25">
      <c r="A685" t="s">
        <v>1113</v>
      </c>
      <c r="B685" t="s">
        <v>1058</v>
      </c>
      <c r="C685" s="3">
        <v>300</v>
      </c>
      <c r="D685" t="s">
        <v>17</v>
      </c>
      <c r="E685">
        <v>543250</v>
      </c>
      <c r="F685" t="s">
        <v>1562</v>
      </c>
      <c r="G685" t="s">
        <v>1671</v>
      </c>
      <c r="H685" s="4">
        <v>45933</v>
      </c>
      <c r="I685" t="s">
        <v>1966</v>
      </c>
    </row>
    <row r="686" spans="1:9" x14ac:dyDescent="0.25">
      <c r="A686" t="s">
        <v>1106</v>
      </c>
      <c r="B686" t="s">
        <v>1058</v>
      </c>
      <c r="C686" s="3">
        <v>170</v>
      </c>
      <c r="D686" t="s">
        <v>2</v>
      </c>
      <c r="E686">
        <v>543285</v>
      </c>
      <c r="F686" t="s">
        <v>1562</v>
      </c>
      <c r="H686" s="4">
        <v>45933</v>
      </c>
      <c r="I686" t="s">
        <v>1966</v>
      </c>
    </row>
    <row r="687" spans="1:9" x14ac:dyDescent="0.25">
      <c r="A687" t="s">
        <v>1105</v>
      </c>
      <c r="B687" t="s">
        <v>1058</v>
      </c>
      <c r="C687" s="3">
        <v>170</v>
      </c>
      <c r="D687" t="s">
        <v>2</v>
      </c>
      <c r="E687">
        <v>543286</v>
      </c>
      <c r="F687" t="s">
        <v>1562</v>
      </c>
      <c r="H687" s="4">
        <v>45933</v>
      </c>
      <c r="I687" t="s">
        <v>1966</v>
      </c>
    </row>
    <row r="688" spans="1:9" x14ac:dyDescent="0.25">
      <c r="A688" t="s">
        <v>1084</v>
      </c>
      <c r="B688" t="s">
        <v>1058</v>
      </c>
      <c r="C688" s="3">
        <v>85</v>
      </c>
      <c r="D688" t="s">
        <v>17</v>
      </c>
      <c r="E688">
        <v>543521</v>
      </c>
      <c r="F688" t="s">
        <v>1562</v>
      </c>
      <c r="H688" s="4">
        <v>45933</v>
      </c>
      <c r="I688" t="s">
        <v>1966</v>
      </c>
    </row>
    <row r="689" spans="1:9" x14ac:dyDescent="0.25">
      <c r="A689" t="s">
        <v>1112</v>
      </c>
      <c r="B689" t="s">
        <v>1058</v>
      </c>
      <c r="C689" s="3">
        <v>100</v>
      </c>
      <c r="D689" t="s">
        <v>17</v>
      </c>
      <c r="E689">
        <v>543289</v>
      </c>
      <c r="F689" t="s">
        <v>1562</v>
      </c>
      <c r="H689" s="4">
        <v>45937</v>
      </c>
      <c r="I689" t="s">
        <v>1966</v>
      </c>
    </row>
    <row r="690" spans="1:9" x14ac:dyDescent="0.25">
      <c r="A690" t="s">
        <v>184</v>
      </c>
      <c r="B690" t="s">
        <v>1058</v>
      </c>
      <c r="C690" s="3">
        <v>1000</v>
      </c>
      <c r="D690" t="s">
        <v>17</v>
      </c>
      <c r="E690">
        <v>543309</v>
      </c>
      <c r="F690" t="s">
        <v>1562</v>
      </c>
      <c r="G690" t="s">
        <v>1672</v>
      </c>
      <c r="H690" s="4">
        <v>45938</v>
      </c>
      <c r="I690" t="s">
        <v>1966</v>
      </c>
    </row>
    <row r="691" spans="1:9" x14ac:dyDescent="0.25">
      <c r="A691" t="s">
        <v>1103</v>
      </c>
      <c r="B691" t="s">
        <v>1058</v>
      </c>
      <c r="C691" s="3">
        <v>300</v>
      </c>
      <c r="D691" t="s">
        <v>17</v>
      </c>
      <c r="E691">
        <v>543322</v>
      </c>
      <c r="F691" t="s">
        <v>1562</v>
      </c>
      <c r="G691" t="s">
        <v>1673</v>
      </c>
      <c r="H691" s="4">
        <v>45939</v>
      </c>
      <c r="I691" t="s">
        <v>1966</v>
      </c>
    </row>
    <row r="692" spans="1:9" x14ac:dyDescent="0.25">
      <c r="A692" t="s">
        <v>1102</v>
      </c>
      <c r="B692" t="s">
        <v>1058</v>
      </c>
      <c r="C692" s="3">
        <v>300</v>
      </c>
      <c r="D692" t="s">
        <v>17</v>
      </c>
      <c r="E692">
        <v>543420</v>
      </c>
      <c r="F692" t="s">
        <v>1562</v>
      </c>
      <c r="H692" s="4">
        <v>45946</v>
      </c>
      <c r="I692" t="s">
        <v>1966</v>
      </c>
    </row>
    <row r="693" spans="1:9" x14ac:dyDescent="0.25">
      <c r="A693" t="s">
        <v>1101</v>
      </c>
      <c r="B693" t="s">
        <v>1058</v>
      </c>
      <c r="C693" s="3">
        <v>300</v>
      </c>
      <c r="D693" t="s">
        <v>17</v>
      </c>
      <c r="E693">
        <v>543467</v>
      </c>
      <c r="F693" t="s">
        <v>1562</v>
      </c>
      <c r="G693" t="s">
        <v>1674</v>
      </c>
      <c r="H693" s="4">
        <v>45947</v>
      </c>
      <c r="I693" t="s">
        <v>1966</v>
      </c>
    </row>
    <row r="694" spans="1:9" x14ac:dyDescent="0.25">
      <c r="A694" t="s">
        <v>1060</v>
      </c>
      <c r="B694" t="s">
        <v>1058</v>
      </c>
      <c r="C694" s="3">
        <v>54.11</v>
      </c>
      <c r="D694" t="s">
        <v>17</v>
      </c>
      <c r="E694">
        <v>543468</v>
      </c>
      <c r="F694" t="s">
        <v>1562</v>
      </c>
      <c r="G694" t="s">
        <v>1675</v>
      </c>
      <c r="H694" s="4">
        <v>45947</v>
      </c>
      <c r="I694" t="s">
        <v>1966</v>
      </c>
    </row>
    <row r="695" spans="1:9" x14ac:dyDescent="0.25">
      <c r="A695" t="s">
        <v>1060</v>
      </c>
      <c r="B695" t="s">
        <v>1058</v>
      </c>
      <c r="C695" s="3">
        <v>6390</v>
      </c>
      <c r="D695" t="s">
        <v>17</v>
      </c>
      <c r="E695">
        <v>543469</v>
      </c>
      <c r="F695" t="s">
        <v>1562</v>
      </c>
      <c r="G695" t="s">
        <v>1676</v>
      </c>
      <c r="H695" s="4">
        <v>45947</v>
      </c>
      <c r="I695" t="s">
        <v>1966</v>
      </c>
    </row>
    <row r="696" spans="1:9" x14ac:dyDescent="0.25">
      <c r="A696" t="s">
        <v>1060</v>
      </c>
      <c r="B696" t="s">
        <v>1058</v>
      </c>
      <c r="C696" s="3">
        <v>6445</v>
      </c>
      <c r="D696" t="s">
        <v>17</v>
      </c>
      <c r="E696">
        <v>543471</v>
      </c>
      <c r="F696" t="s">
        <v>1562</v>
      </c>
      <c r="G696" t="s">
        <v>1675</v>
      </c>
      <c r="H696" s="4">
        <v>45947</v>
      </c>
      <c r="I696" t="s">
        <v>1966</v>
      </c>
    </row>
    <row r="697" spans="1:9" x14ac:dyDescent="0.25">
      <c r="A697" t="s">
        <v>97</v>
      </c>
      <c r="B697" t="s">
        <v>1058</v>
      </c>
      <c r="C697" s="3">
        <v>270</v>
      </c>
      <c r="D697" t="s">
        <v>17</v>
      </c>
      <c r="E697">
        <v>545497</v>
      </c>
      <c r="F697" t="s">
        <v>1562</v>
      </c>
      <c r="H697" s="4">
        <v>45947</v>
      </c>
      <c r="I697" t="s">
        <v>1966</v>
      </c>
    </row>
    <row r="698" spans="1:9" x14ac:dyDescent="0.25">
      <c r="A698" t="s">
        <v>1060</v>
      </c>
      <c r="B698" t="s">
        <v>1058</v>
      </c>
      <c r="C698" s="3">
        <v>7674.87</v>
      </c>
      <c r="D698" t="s">
        <v>17</v>
      </c>
      <c r="E698">
        <v>547110</v>
      </c>
      <c r="F698" t="s">
        <v>1565</v>
      </c>
      <c r="G698" t="s">
        <v>1677</v>
      </c>
      <c r="H698" s="4">
        <v>45947</v>
      </c>
      <c r="I698" t="s">
        <v>1966</v>
      </c>
    </row>
    <row r="699" spans="1:9" x14ac:dyDescent="0.25">
      <c r="A699" t="s">
        <v>58</v>
      </c>
      <c r="B699" t="s">
        <v>1058</v>
      </c>
      <c r="C699" s="3">
        <v>50</v>
      </c>
      <c r="D699" t="s">
        <v>79</v>
      </c>
      <c r="E699">
        <v>543479</v>
      </c>
      <c r="F699" t="s">
        <v>1562</v>
      </c>
      <c r="H699" s="4">
        <v>45950</v>
      </c>
      <c r="I699" t="s">
        <v>1966</v>
      </c>
    </row>
    <row r="700" spans="1:9" x14ac:dyDescent="0.25">
      <c r="A700" t="s">
        <v>1085</v>
      </c>
      <c r="B700" t="s">
        <v>1058</v>
      </c>
      <c r="C700" s="3">
        <v>300</v>
      </c>
      <c r="D700" t="s">
        <v>17</v>
      </c>
      <c r="E700">
        <v>543480</v>
      </c>
      <c r="F700" t="s">
        <v>1562</v>
      </c>
      <c r="G700" t="s">
        <v>1678</v>
      </c>
      <c r="H700" s="4">
        <v>45950</v>
      </c>
      <c r="I700" t="s">
        <v>1966</v>
      </c>
    </row>
    <row r="701" spans="1:9" x14ac:dyDescent="0.25">
      <c r="A701" t="s">
        <v>2036</v>
      </c>
      <c r="B701" t="s">
        <v>1058</v>
      </c>
      <c r="C701" s="3">
        <v>50</v>
      </c>
      <c r="D701" t="s">
        <v>17</v>
      </c>
      <c r="E701">
        <v>543486</v>
      </c>
      <c r="F701" t="s">
        <v>1562</v>
      </c>
      <c r="H701" s="4">
        <v>45950</v>
      </c>
      <c r="I701" t="s">
        <v>1966</v>
      </c>
    </row>
    <row r="702" spans="1:9" x14ac:dyDescent="0.25">
      <c r="A702" t="s">
        <v>1060</v>
      </c>
      <c r="B702" t="s">
        <v>1058</v>
      </c>
      <c r="C702" s="3">
        <v>36</v>
      </c>
      <c r="D702" t="s">
        <v>17</v>
      </c>
      <c r="E702">
        <v>543491</v>
      </c>
      <c r="F702" t="s">
        <v>1562</v>
      </c>
      <c r="G702" t="s">
        <v>1679</v>
      </c>
      <c r="H702" s="4">
        <v>45950</v>
      </c>
      <c r="I702" t="s">
        <v>1966</v>
      </c>
    </row>
    <row r="703" spans="1:9" x14ac:dyDescent="0.25">
      <c r="A703" t="s">
        <v>1060</v>
      </c>
      <c r="B703" t="s">
        <v>1058</v>
      </c>
      <c r="C703" s="3">
        <v>36</v>
      </c>
      <c r="D703" t="s">
        <v>17</v>
      </c>
      <c r="E703">
        <v>543492</v>
      </c>
      <c r="F703" t="s">
        <v>1562</v>
      </c>
      <c r="G703" t="s">
        <v>1679</v>
      </c>
      <c r="H703" s="4">
        <v>45950</v>
      </c>
      <c r="I703" t="s">
        <v>1966</v>
      </c>
    </row>
    <row r="704" spans="1:9" x14ac:dyDescent="0.25">
      <c r="A704" t="s">
        <v>1060</v>
      </c>
      <c r="B704" t="s">
        <v>1058</v>
      </c>
      <c r="C704" s="3">
        <v>20</v>
      </c>
      <c r="D704" t="s">
        <v>17</v>
      </c>
      <c r="E704">
        <v>543493</v>
      </c>
      <c r="F704" t="s">
        <v>1562</v>
      </c>
      <c r="G704" t="s">
        <v>1680</v>
      </c>
      <c r="H704" s="4">
        <v>45950</v>
      </c>
      <c r="I704" t="s">
        <v>1966</v>
      </c>
    </row>
    <row r="705" spans="1:9" x14ac:dyDescent="0.25">
      <c r="A705" t="s">
        <v>1064</v>
      </c>
      <c r="B705" t="s">
        <v>1058</v>
      </c>
      <c r="C705" s="3">
        <v>85</v>
      </c>
      <c r="D705" t="s">
        <v>17</v>
      </c>
      <c r="E705">
        <v>543522</v>
      </c>
      <c r="F705" t="s">
        <v>1562</v>
      </c>
      <c r="H705" s="4">
        <v>45950</v>
      </c>
      <c r="I705" t="s">
        <v>1966</v>
      </c>
    </row>
    <row r="706" spans="1:9" x14ac:dyDescent="0.25">
      <c r="A706" t="s">
        <v>1083</v>
      </c>
      <c r="B706" t="s">
        <v>1058</v>
      </c>
      <c r="C706" s="3">
        <v>30</v>
      </c>
      <c r="D706" t="s">
        <v>17</v>
      </c>
      <c r="E706">
        <v>543523</v>
      </c>
      <c r="F706" t="s">
        <v>1562</v>
      </c>
      <c r="H706" s="4">
        <v>45950</v>
      </c>
      <c r="I706" t="s">
        <v>1966</v>
      </c>
    </row>
    <row r="707" spans="1:9" x14ac:dyDescent="0.25">
      <c r="A707" t="s">
        <v>1082</v>
      </c>
      <c r="B707" t="s">
        <v>1058</v>
      </c>
      <c r="C707" s="3">
        <v>340</v>
      </c>
      <c r="D707" t="s">
        <v>17</v>
      </c>
      <c r="E707">
        <v>543524</v>
      </c>
      <c r="F707" t="s">
        <v>1562</v>
      </c>
      <c r="H707" s="4">
        <v>45950</v>
      </c>
      <c r="I707" t="s">
        <v>1966</v>
      </c>
    </row>
    <row r="708" spans="1:9" x14ac:dyDescent="0.25">
      <c r="A708" t="s">
        <v>1081</v>
      </c>
      <c r="B708" t="s">
        <v>1058</v>
      </c>
      <c r="C708" s="3">
        <v>85</v>
      </c>
      <c r="D708" t="s">
        <v>2</v>
      </c>
      <c r="E708">
        <v>543525</v>
      </c>
      <c r="F708" t="s">
        <v>1562</v>
      </c>
      <c r="H708" s="4">
        <v>45951</v>
      </c>
      <c r="I708" t="s">
        <v>1966</v>
      </c>
    </row>
    <row r="709" spans="1:9" x14ac:dyDescent="0.25">
      <c r="A709" t="s">
        <v>1080</v>
      </c>
      <c r="B709" t="s">
        <v>1058</v>
      </c>
      <c r="C709" s="3">
        <v>30</v>
      </c>
      <c r="D709" t="s">
        <v>2</v>
      </c>
      <c r="E709">
        <v>543526</v>
      </c>
      <c r="F709" t="s">
        <v>1562</v>
      </c>
      <c r="H709" s="4">
        <v>45951</v>
      </c>
      <c r="I709" t="s">
        <v>1966</v>
      </c>
    </row>
    <row r="710" spans="1:9" x14ac:dyDescent="0.25">
      <c r="A710" t="s">
        <v>1053</v>
      </c>
      <c r="B710" t="s">
        <v>1058</v>
      </c>
      <c r="C710" s="3">
        <v>140</v>
      </c>
      <c r="D710" t="s">
        <v>2</v>
      </c>
      <c r="E710">
        <v>543527</v>
      </c>
      <c r="F710" t="s">
        <v>1562</v>
      </c>
      <c r="H710" s="4">
        <v>45951</v>
      </c>
      <c r="I710" t="s">
        <v>1966</v>
      </c>
    </row>
    <row r="711" spans="1:9" x14ac:dyDescent="0.25">
      <c r="A711" t="s">
        <v>1079</v>
      </c>
      <c r="B711" t="s">
        <v>1058</v>
      </c>
      <c r="C711" s="3">
        <v>20</v>
      </c>
      <c r="D711" t="s">
        <v>2</v>
      </c>
      <c r="E711">
        <v>543528</v>
      </c>
      <c r="F711" t="s">
        <v>1562</v>
      </c>
      <c r="H711" s="4">
        <v>45951</v>
      </c>
      <c r="I711" t="s">
        <v>1966</v>
      </c>
    </row>
    <row r="712" spans="1:9" x14ac:dyDescent="0.25">
      <c r="A712" t="s">
        <v>774</v>
      </c>
      <c r="B712" t="s">
        <v>1058</v>
      </c>
      <c r="C712" s="3">
        <v>30</v>
      </c>
      <c r="D712" t="s">
        <v>2</v>
      </c>
      <c r="E712">
        <v>543529</v>
      </c>
      <c r="F712" t="s">
        <v>1562</v>
      </c>
      <c r="H712" s="4">
        <v>45951</v>
      </c>
      <c r="I712" t="s">
        <v>1966</v>
      </c>
    </row>
    <row r="713" spans="1:9" x14ac:dyDescent="0.25">
      <c r="A713" t="s">
        <v>1039</v>
      </c>
      <c r="B713" t="s">
        <v>1058</v>
      </c>
      <c r="C713" s="3">
        <v>30</v>
      </c>
      <c r="D713" t="s">
        <v>2</v>
      </c>
      <c r="E713">
        <v>543530</v>
      </c>
      <c r="F713" t="s">
        <v>1562</v>
      </c>
      <c r="H713" s="4">
        <v>45951</v>
      </c>
      <c r="I713" t="s">
        <v>1966</v>
      </c>
    </row>
    <row r="714" spans="1:9" x14ac:dyDescent="0.25">
      <c r="A714" t="s">
        <v>1078</v>
      </c>
      <c r="B714" t="s">
        <v>1058</v>
      </c>
      <c r="C714" s="3">
        <v>30</v>
      </c>
      <c r="D714" t="s">
        <v>2</v>
      </c>
      <c r="E714">
        <v>543531</v>
      </c>
      <c r="F714" t="s">
        <v>1562</v>
      </c>
      <c r="H714" s="4">
        <v>45951</v>
      </c>
      <c r="I714" t="s">
        <v>1966</v>
      </c>
    </row>
    <row r="715" spans="1:9" x14ac:dyDescent="0.25">
      <c r="A715" t="s">
        <v>1077</v>
      </c>
      <c r="B715" t="s">
        <v>1058</v>
      </c>
      <c r="C715" s="3">
        <v>30</v>
      </c>
      <c r="D715" t="s">
        <v>2</v>
      </c>
      <c r="E715">
        <v>543532</v>
      </c>
      <c r="F715" t="s">
        <v>1562</v>
      </c>
      <c r="H715" s="4">
        <v>45951</v>
      </c>
      <c r="I715" t="s">
        <v>1966</v>
      </c>
    </row>
    <row r="716" spans="1:9" x14ac:dyDescent="0.25">
      <c r="A716" t="s">
        <v>1076</v>
      </c>
      <c r="B716" t="s">
        <v>1058</v>
      </c>
      <c r="C716" s="3">
        <v>30</v>
      </c>
      <c r="D716" t="s">
        <v>2</v>
      </c>
      <c r="E716">
        <v>543533</v>
      </c>
      <c r="F716" t="s">
        <v>1562</v>
      </c>
      <c r="H716" s="4">
        <v>45951</v>
      </c>
      <c r="I716" t="s">
        <v>1966</v>
      </c>
    </row>
    <row r="717" spans="1:9" x14ac:dyDescent="0.25">
      <c r="A717" t="s">
        <v>1075</v>
      </c>
      <c r="B717" t="s">
        <v>1058</v>
      </c>
      <c r="C717" s="3">
        <v>30</v>
      </c>
      <c r="D717" t="s">
        <v>2</v>
      </c>
      <c r="E717">
        <v>543534</v>
      </c>
      <c r="F717" t="s">
        <v>1562</v>
      </c>
      <c r="H717" s="4">
        <v>45951</v>
      </c>
      <c r="I717" t="s">
        <v>1966</v>
      </c>
    </row>
    <row r="718" spans="1:9" x14ac:dyDescent="0.25">
      <c r="A718" t="s">
        <v>1074</v>
      </c>
      <c r="B718" t="s">
        <v>1058</v>
      </c>
      <c r="C718" s="3">
        <v>20</v>
      </c>
      <c r="D718" t="s">
        <v>2</v>
      </c>
      <c r="E718">
        <v>543535</v>
      </c>
      <c r="F718" t="s">
        <v>1562</v>
      </c>
      <c r="H718" s="4">
        <v>45951</v>
      </c>
      <c r="I718" t="s">
        <v>1966</v>
      </c>
    </row>
    <row r="719" spans="1:9" x14ac:dyDescent="0.25">
      <c r="A719" t="s">
        <v>1073</v>
      </c>
      <c r="B719" t="s">
        <v>1058</v>
      </c>
      <c r="C719" s="3">
        <v>30</v>
      </c>
      <c r="D719" t="s">
        <v>2</v>
      </c>
      <c r="E719">
        <v>543536</v>
      </c>
      <c r="F719" t="s">
        <v>1562</v>
      </c>
      <c r="H719" s="4">
        <v>45951</v>
      </c>
      <c r="I719" t="s">
        <v>1966</v>
      </c>
    </row>
    <row r="720" spans="1:9" x14ac:dyDescent="0.25">
      <c r="A720" t="s">
        <v>1072</v>
      </c>
      <c r="B720" t="s">
        <v>1058</v>
      </c>
      <c r="C720" s="3">
        <v>30</v>
      </c>
      <c r="D720" t="s">
        <v>2</v>
      </c>
      <c r="E720">
        <v>543537</v>
      </c>
      <c r="F720" t="s">
        <v>1562</v>
      </c>
      <c r="H720" s="4">
        <v>45951</v>
      </c>
      <c r="I720" t="s">
        <v>1966</v>
      </c>
    </row>
    <row r="721" spans="1:9" x14ac:dyDescent="0.25">
      <c r="A721" t="s">
        <v>1071</v>
      </c>
      <c r="B721" t="s">
        <v>1058</v>
      </c>
      <c r="C721" s="3">
        <v>30</v>
      </c>
      <c r="D721" t="s">
        <v>2</v>
      </c>
      <c r="E721">
        <v>543538</v>
      </c>
      <c r="F721" t="s">
        <v>1562</v>
      </c>
      <c r="H721" s="4">
        <v>45951</v>
      </c>
      <c r="I721" t="s">
        <v>1966</v>
      </c>
    </row>
    <row r="722" spans="1:9" x14ac:dyDescent="0.25">
      <c r="A722" t="s">
        <v>1070</v>
      </c>
      <c r="B722" t="s">
        <v>1058</v>
      </c>
      <c r="C722" s="3">
        <v>30</v>
      </c>
      <c r="D722" t="s">
        <v>2</v>
      </c>
      <c r="E722">
        <v>543539</v>
      </c>
      <c r="F722" t="s">
        <v>1562</v>
      </c>
      <c r="H722" s="4">
        <v>45951</v>
      </c>
      <c r="I722" t="s">
        <v>1966</v>
      </c>
    </row>
    <row r="723" spans="1:9" x14ac:dyDescent="0.25">
      <c r="A723" t="s">
        <v>1069</v>
      </c>
      <c r="B723" t="s">
        <v>1058</v>
      </c>
      <c r="C723" s="3">
        <v>20</v>
      </c>
      <c r="D723" t="s">
        <v>2</v>
      </c>
      <c r="E723">
        <v>543540</v>
      </c>
      <c r="F723" t="s">
        <v>1562</v>
      </c>
      <c r="H723" s="4">
        <v>45951</v>
      </c>
      <c r="I723" t="s">
        <v>1966</v>
      </c>
    </row>
    <row r="724" spans="1:9" x14ac:dyDescent="0.25">
      <c r="A724" t="s">
        <v>1051</v>
      </c>
      <c r="B724" t="s">
        <v>1058</v>
      </c>
      <c r="C724" s="3">
        <v>30</v>
      </c>
      <c r="D724" t="s">
        <v>2</v>
      </c>
      <c r="E724">
        <v>543541</v>
      </c>
      <c r="F724" t="s">
        <v>1562</v>
      </c>
      <c r="H724" s="4">
        <v>45951</v>
      </c>
      <c r="I724" t="s">
        <v>1966</v>
      </c>
    </row>
    <row r="725" spans="1:9" x14ac:dyDescent="0.25">
      <c r="A725" t="s">
        <v>22</v>
      </c>
      <c r="B725" t="s">
        <v>1058</v>
      </c>
      <c r="C725" s="3">
        <v>30</v>
      </c>
      <c r="D725" t="s">
        <v>2</v>
      </c>
      <c r="E725">
        <v>543542</v>
      </c>
      <c r="F725" t="s">
        <v>1562</v>
      </c>
      <c r="H725" s="4">
        <v>45951</v>
      </c>
      <c r="I725" t="s">
        <v>1966</v>
      </c>
    </row>
    <row r="726" spans="1:9" x14ac:dyDescent="0.25">
      <c r="A726" t="s">
        <v>1068</v>
      </c>
      <c r="B726" t="s">
        <v>1058</v>
      </c>
      <c r="C726" s="3">
        <v>30</v>
      </c>
      <c r="D726" t="s">
        <v>2</v>
      </c>
      <c r="E726">
        <v>543543</v>
      </c>
      <c r="F726" t="s">
        <v>1562</v>
      </c>
      <c r="H726" s="4">
        <v>45951</v>
      </c>
      <c r="I726" t="s">
        <v>1966</v>
      </c>
    </row>
    <row r="727" spans="1:9" x14ac:dyDescent="0.25">
      <c r="A727" t="s">
        <v>1067</v>
      </c>
      <c r="B727" t="s">
        <v>1058</v>
      </c>
      <c r="C727" s="3">
        <v>30</v>
      </c>
      <c r="D727" t="s">
        <v>2</v>
      </c>
      <c r="E727">
        <v>543544</v>
      </c>
      <c r="F727" t="s">
        <v>1562</v>
      </c>
      <c r="H727" s="4">
        <v>45951</v>
      </c>
      <c r="I727" t="s">
        <v>1966</v>
      </c>
    </row>
    <row r="728" spans="1:9" x14ac:dyDescent="0.25">
      <c r="A728" t="s">
        <v>1066</v>
      </c>
      <c r="B728" t="s">
        <v>1058</v>
      </c>
      <c r="C728" s="3">
        <v>30</v>
      </c>
      <c r="D728" t="s">
        <v>2</v>
      </c>
      <c r="E728">
        <v>543545</v>
      </c>
      <c r="F728" t="s">
        <v>1562</v>
      </c>
      <c r="H728" s="4">
        <v>45951</v>
      </c>
      <c r="I728" t="s">
        <v>1966</v>
      </c>
    </row>
    <row r="729" spans="1:9" x14ac:dyDescent="0.25">
      <c r="A729" t="s">
        <v>1065</v>
      </c>
      <c r="B729" t="s">
        <v>1058</v>
      </c>
      <c r="C729" s="3">
        <v>20</v>
      </c>
      <c r="D729" t="s">
        <v>2</v>
      </c>
      <c r="E729">
        <v>543546</v>
      </c>
      <c r="F729" t="s">
        <v>1562</v>
      </c>
      <c r="H729" s="4">
        <v>45951</v>
      </c>
      <c r="I729" t="s">
        <v>1966</v>
      </c>
    </row>
    <row r="730" spans="1:9" x14ac:dyDescent="0.25">
      <c r="A730" t="s">
        <v>1064</v>
      </c>
      <c r="B730" t="s">
        <v>1058</v>
      </c>
      <c r="C730" s="3">
        <v>85</v>
      </c>
      <c r="D730" t="s">
        <v>2</v>
      </c>
      <c r="E730">
        <v>543547</v>
      </c>
      <c r="F730" t="s">
        <v>1562</v>
      </c>
      <c r="H730" s="4">
        <v>45951</v>
      </c>
      <c r="I730" t="s">
        <v>1966</v>
      </c>
    </row>
    <row r="731" spans="1:9" x14ac:dyDescent="0.25">
      <c r="A731" t="s">
        <v>1063</v>
      </c>
      <c r="B731" t="s">
        <v>1058</v>
      </c>
      <c r="C731" s="3">
        <v>30</v>
      </c>
      <c r="D731" t="s">
        <v>2</v>
      </c>
      <c r="E731">
        <v>544002</v>
      </c>
      <c r="F731" t="s">
        <v>1562</v>
      </c>
      <c r="H731" s="4">
        <v>45952</v>
      </c>
      <c r="I731" t="s">
        <v>1966</v>
      </c>
    </row>
    <row r="732" spans="1:9" x14ac:dyDescent="0.25">
      <c r="A732" t="s">
        <v>1062</v>
      </c>
      <c r="B732" t="s">
        <v>1058</v>
      </c>
      <c r="C732" s="3">
        <v>140</v>
      </c>
      <c r="D732" t="s">
        <v>2</v>
      </c>
      <c r="E732">
        <v>544003</v>
      </c>
      <c r="F732" t="s">
        <v>1562</v>
      </c>
      <c r="H732" s="4">
        <v>45952</v>
      </c>
      <c r="I732" t="s">
        <v>1966</v>
      </c>
    </row>
    <row r="733" spans="1:9" x14ac:dyDescent="0.25">
      <c r="A733" t="s">
        <v>1061</v>
      </c>
      <c r="B733" t="s">
        <v>1058</v>
      </c>
      <c r="C733" s="3">
        <v>500</v>
      </c>
      <c r="D733" t="s">
        <v>2</v>
      </c>
      <c r="E733">
        <v>544004</v>
      </c>
      <c r="F733" t="s">
        <v>1562</v>
      </c>
      <c r="H733" s="4">
        <v>45952</v>
      </c>
      <c r="I733" t="s">
        <v>1966</v>
      </c>
    </row>
    <row r="734" spans="1:9" x14ac:dyDescent="0.25">
      <c r="A734" t="s">
        <v>1056</v>
      </c>
      <c r="B734" t="s">
        <v>1058</v>
      </c>
      <c r="C734" s="3">
        <v>3300</v>
      </c>
      <c r="D734" t="s">
        <v>2</v>
      </c>
      <c r="E734">
        <v>544005</v>
      </c>
      <c r="F734" t="s">
        <v>1562</v>
      </c>
      <c r="H734" s="4">
        <v>45952</v>
      </c>
      <c r="I734" t="s">
        <v>1966</v>
      </c>
    </row>
    <row r="735" spans="1:9" x14ac:dyDescent="0.25">
      <c r="A735" t="s">
        <v>20</v>
      </c>
      <c r="B735" t="s">
        <v>1058</v>
      </c>
      <c r="C735" s="3">
        <v>370</v>
      </c>
      <c r="D735" t="s">
        <v>2</v>
      </c>
      <c r="E735">
        <v>544006</v>
      </c>
      <c r="F735" t="s">
        <v>1562</v>
      </c>
      <c r="H735" s="4">
        <v>45952</v>
      </c>
      <c r="I735" t="s">
        <v>1966</v>
      </c>
    </row>
    <row r="736" spans="1:9" x14ac:dyDescent="0.25">
      <c r="A736" t="s">
        <v>98</v>
      </c>
      <c r="B736" t="s">
        <v>1058</v>
      </c>
      <c r="C736" s="3">
        <v>400</v>
      </c>
      <c r="D736" t="s">
        <v>17</v>
      </c>
      <c r="E736">
        <v>543929</v>
      </c>
      <c r="F736" t="s">
        <v>1562</v>
      </c>
      <c r="G736" t="s">
        <v>1681</v>
      </c>
      <c r="H736" s="4">
        <v>45953</v>
      </c>
      <c r="I736" t="s">
        <v>1966</v>
      </c>
    </row>
    <row r="737" spans="1:9" x14ac:dyDescent="0.25">
      <c r="A737" t="s">
        <v>98</v>
      </c>
      <c r="B737" t="s">
        <v>1058</v>
      </c>
      <c r="C737" s="3">
        <v>100</v>
      </c>
      <c r="D737" t="s">
        <v>17</v>
      </c>
      <c r="E737">
        <v>543930</v>
      </c>
      <c r="F737" t="s">
        <v>1562</v>
      </c>
      <c r="G737" t="s">
        <v>1682</v>
      </c>
      <c r="H737" s="4">
        <v>45953</v>
      </c>
      <c r="I737" t="s">
        <v>1966</v>
      </c>
    </row>
    <row r="738" spans="1:9" x14ac:dyDescent="0.25">
      <c r="A738" t="s">
        <v>1030</v>
      </c>
      <c r="B738" t="s">
        <v>1058</v>
      </c>
      <c r="C738" s="3">
        <v>1000</v>
      </c>
      <c r="D738" t="s">
        <v>17</v>
      </c>
      <c r="E738">
        <v>544337</v>
      </c>
      <c r="F738" t="s">
        <v>1562</v>
      </c>
      <c r="H738" s="4">
        <v>45958</v>
      </c>
      <c r="I738" t="s">
        <v>1966</v>
      </c>
    </row>
    <row r="739" spans="1:9" x14ac:dyDescent="0.25">
      <c r="A739" t="s">
        <v>179</v>
      </c>
      <c r="B739" t="s">
        <v>1058</v>
      </c>
      <c r="C739" s="3">
        <v>250</v>
      </c>
      <c r="D739" t="s">
        <v>17</v>
      </c>
      <c r="E739">
        <v>544338</v>
      </c>
      <c r="F739" t="s">
        <v>1562</v>
      </c>
      <c r="H739" s="4">
        <v>45958</v>
      </c>
      <c r="I739" t="s">
        <v>1966</v>
      </c>
    </row>
    <row r="740" spans="1:9" x14ac:dyDescent="0.25">
      <c r="A740" t="s">
        <v>750</v>
      </c>
      <c r="B740" t="s">
        <v>1058</v>
      </c>
      <c r="C740" s="3">
        <v>2000</v>
      </c>
      <c r="D740" t="s">
        <v>17</v>
      </c>
      <c r="E740">
        <v>544328</v>
      </c>
      <c r="F740" t="s">
        <v>1562</v>
      </c>
      <c r="G740" t="s">
        <v>1683</v>
      </c>
      <c r="H740" s="4">
        <v>45966</v>
      </c>
      <c r="I740" t="s">
        <v>1966</v>
      </c>
    </row>
    <row r="741" spans="1:9" x14ac:dyDescent="0.25">
      <c r="A741" t="s">
        <v>97</v>
      </c>
      <c r="B741" t="s">
        <v>1058</v>
      </c>
      <c r="C741" s="3">
        <v>150</v>
      </c>
      <c r="D741" t="s">
        <v>17</v>
      </c>
      <c r="E741">
        <v>544548</v>
      </c>
      <c r="F741" t="s">
        <v>1562</v>
      </c>
      <c r="G741" t="s">
        <v>1684</v>
      </c>
      <c r="H741" s="4">
        <v>45979</v>
      </c>
      <c r="I741" t="s">
        <v>1966</v>
      </c>
    </row>
    <row r="742" spans="1:9" x14ac:dyDescent="0.25">
      <c r="A742" t="s">
        <v>1059</v>
      </c>
      <c r="B742" t="s">
        <v>1058</v>
      </c>
      <c r="C742" s="3">
        <v>680</v>
      </c>
      <c r="D742" t="s">
        <v>17</v>
      </c>
      <c r="E742">
        <v>545811</v>
      </c>
      <c r="F742" t="s">
        <v>1562</v>
      </c>
      <c r="H742" s="4">
        <v>46000</v>
      </c>
      <c r="I742" t="s">
        <v>1966</v>
      </c>
    </row>
    <row r="743" spans="1:9" x14ac:dyDescent="0.25">
      <c r="A743" t="s">
        <v>94</v>
      </c>
      <c r="B743" t="s">
        <v>1057</v>
      </c>
      <c r="C743" s="3">
        <v>5000</v>
      </c>
      <c r="D743" t="s">
        <v>17</v>
      </c>
      <c r="E743">
        <v>544457</v>
      </c>
      <c r="F743" t="s">
        <v>1562</v>
      </c>
      <c r="G743" t="s">
        <v>1685</v>
      </c>
      <c r="H743" s="4">
        <v>45972</v>
      </c>
      <c r="I743" t="s">
        <v>1966</v>
      </c>
    </row>
    <row r="744" spans="1:9" x14ac:dyDescent="0.25">
      <c r="A744" t="s">
        <v>1034</v>
      </c>
      <c r="B744" t="s">
        <v>1033</v>
      </c>
      <c r="C744" s="3">
        <v>207.24</v>
      </c>
      <c r="D744" t="s">
        <v>8</v>
      </c>
      <c r="E744">
        <v>536581</v>
      </c>
      <c r="F744" t="s">
        <v>1562</v>
      </c>
      <c r="G744" t="s">
        <v>1687</v>
      </c>
      <c r="H744" s="4">
        <v>45757</v>
      </c>
      <c r="I744" t="s">
        <v>1965</v>
      </c>
    </row>
    <row r="745" spans="1:9" x14ac:dyDescent="0.25">
      <c r="A745" t="s">
        <v>1034</v>
      </c>
      <c r="B745" t="s">
        <v>1033</v>
      </c>
      <c r="C745" s="3">
        <v>34.14</v>
      </c>
      <c r="D745" t="s">
        <v>8</v>
      </c>
      <c r="E745">
        <v>536580</v>
      </c>
      <c r="F745" t="s">
        <v>1562</v>
      </c>
      <c r="H745" s="4">
        <v>45772</v>
      </c>
      <c r="I745" t="s">
        <v>1965</v>
      </c>
    </row>
    <row r="746" spans="1:9" x14ac:dyDescent="0.25">
      <c r="A746" t="s">
        <v>1028</v>
      </c>
      <c r="B746" t="s">
        <v>1027</v>
      </c>
      <c r="C746" s="3">
        <v>100</v>
      </c>
      <c r="D746" t="s">
        <v>53</v>
      </c>
      <c r="E746">
        <v>538113</v>
      </c>
      <c r="F746" t="s">
        <v>1562</v>
      </c>
      <c r="G746" t="s">
        <v>1688</v>
      </c>
      <c r="H746" s="4">
        <v>45823</v>
      </c>
      <c r="I746" t="s">
        <v>1966</v>
      </c>
    </row>
    <row r="747" spans="1:9" x14ac:dyDescent="0.25">
      <c r="A747" t="s">
        <v>931</v>
      </c>
      <c r="B747" t="s">
        <v>304</v>
      </c>
      <c r="C747" s="3">
        <v>100</v>
      </c>
      <c r="D747" t="s">
        <v>53</v>
      </c>
      <c r="E747">
        <v>538447</v>
      </c>
      <c r="F747" t="s">
        <v>1562</v>
      </c>
      <c r="G747" t="s">
        <v>1689</v>
      </c>
      <c r="H747" s="4">
        <v>45748</v>
      </c>
      <c r="I747" t="s">
        <v>1966</v>
      </c>
    </row>
    <row r="748" spans="1:9" x14ac:dyDescent="0.25">
      <c r="A748" t="s">
        <v>930</v>
      </c>
      <c r="B748" t="s">
        <v>304</v>
      </c>
      <c r="C748" s="3">
        <v>100</v>
      </c>
      <c r="D748" t="s">
        <v>53</v>
      </c>
      <c r="E748">
        <v>538448</v>
      </c>
      <c r="F748" t="s">
        <v>1562</v>
      </c>
      <c r="G748" t="s">
        <v>1690</v>
      </c>
      <c r="H748" s="4">
        <v>45751</v>
      </c>
      <c r="I748" t="s">
        <v>1966</v>
      </c>
    </row>
    <row r="749" spans="1:9" x14ac:dyDescent="0.25">
      <c r="A749" t="s">
        <v>591</v>
      </c>
      <c r="B749" t="s">
        <v>304</v>
      </c>
      <c r="C749" s="3">
        <v>50</v>
      </c>
      <c r="D749" t="s">
        <v>53</v>
      </c>
      <c r="E749">
        <v>538449</v>
      </c>
      <c r="F749" t="s">
        <v>1562</v>
      </c>
      <c r="G749" t="s">
        <v>1691</v>
      </c>
      <c r="H749" s="4">
        <v>45751</v>
      </c>
      <c r="I749" t="s">
        <v>1966</v>
      </c>
    </row>
    <row r="750" spans="1:9" x14ac:dyDescent="0.25">
      <c r="A750" t="s">
        <v>606</v>
      </c>
      <c r="B750" t="s">
        <v>304</v>
      </c>
      <c r="C750" s="3">
        <v>100</v>
      </c>
      <c r="D750" t="s">
        <v>53</v>
      </c>
      <c r="E750">
        <v>538450</v>
      </c>
      <c r="F750" t="s">
        <v>1562</v>
      </c>
      <c r="G750" t="s">
        <v>1692</v>
      </c>
      <c r="H750" s="4">
        <v>45752</v>
      </c>
      <c r="I750" t="s">
        <v>1966</v>
      </c>
    </row>
    <row r="751" spans="1:9" x14ac:dyDescent="0.25">
      <c r="A751" t="s">
        <v>934</v>
      </c>
      <c r="B751" t="s">
        <v>304</v>
      </c>
      <c r="C751" s="3">
        <v>50</v>
      </c>
      <c r="D751" t="s">
        <v>53</v>
      </c>
      <c r="E751">
        <v>538458</v>
      </c>
      <c r="F751" t="s">
        <v>1562</v>
      </c>
      <c r="G751" t="s">
        <v>1693</v>
      </c>
      <c r="H751" s="4">
        <v>45756</v>
      </c>
      <c r="I751" t="s">
        <v>1966</v>
      </c>
    </row>
    <row r="752" spans="1:9" x14ac:dyDescent="0.25">
      <c r="A752" t="s">
        <v>933</v>
      </c>
      <c r="B752" t="s">
        <v>304</v>
      </c>
      <c r="C752" s="3">
        <v>50</v>
      </c>
      <c r="D752" t="s">
        <v>53</v>
      </c>
      <c r="E752">
        <v>538459</v>
      </c>
      <c r="F752" t="s">
        <v>1562</v>
      </c>
      <c r="G752" t="s">
        <v>1693</v>
      </c>
      <c r="H752" s="4">
        <v>45756</v>
      </c>
      <c r="I752" t="s">
        <v>1966</v>
      </c>
    </row>
    <row r="753" spans="1:9" x14ac:dyDescent="0.25">
      <c r="A753" t="s">
        <v>183</v>
      </c>
      <c r="B753" t="s">
        <v>304</v>
      </c>
      <c r="C753" s="3">
        <v>50</v>
      </c>
      <c r="D753" t="s">
        <v>53</v>
      </c>
      <c r="E753">
        <v>538460</v>
      </c>
      <c r="F753" t="s">
        <v>1562</v>
      </c>
      <c r="G753" t="s">
        <v>1690</v>
      </c>
      <c r="H753" s="4">
        <v>45756</v>
      </c>
      <c r="I753" t="s">
        <v>1966</v>
      </c>
    </row>
    <row r="754" spans="1:9" x14ac:dyDescent="0.25">
      <c r="A754" t="s">
        <v>932</v>
      </c>
      <c r="B754" t="s">
        <v>304</v>
      </c>
      <c r="C754" s="3">
        <v>100</v>
      </c>
      <c r="D754" t="s">
        <v>53</v>
      </c>
      <c r="E754">
        <v>538461</v>
      </c>
      <c r="F754" t="s">
        <v>1562</v>
      </c>
      <c r="G754" t="s">
        <v>1690</v>
      </c>
      <c r="H754" s="4">
        <v>45756</v>
      </c>
      <c r="I754" t="s">
        <v>1966</v>
      </c>
    </row>
    <row r="755" spans="1:9" x14ac:dyDescent="0.25">
      <c r="A755" t="s">
        <v>843</v>
      </c>
      <c r="B755" t="s">
        <v>304</v>
      </c>
      <c r="C755" s="3">
        <v>100</v>
      </c>
      <c r="D755" t="s">
        <v>53</v>
      </c>
      <c r="E755">
        <v>538465</v>
      </c>
      <c r="F755" t="s">
        <v>1562</v>
      </c>
      <c r="G755" t="s">
        <v>1694</v>
      </c>
      <c r="H755" s="4">
        <v>45758</v>
      </c>
      <c r="I755" t="s">
        <v>1966</v>
      </c>
    </row>
    <row r="756" spans="1:9" x14ac:dyDescent="0.25">
      <c r="A756" t="s">
        <v>842</v>
      </c>
      <c r="B756" t="s">
        <v>304</v>
      </c>
      <c r="C756" s="3">
        <v>250</v>
      </c>
      <c r="D756" t="s">
        <v>53</v>
      </c>
      <c r="E756">
        <v>538466</v>
      </c>
      <c r="F756" t="s">
        <v>1562</v>
      </c>
      <c r="G756" t="s">
        <v>1695</v>
      </c>
      <c r="H756" s="4">
        <v>45758</v>
      </c>
      <c r="I756" t="s">
        <v>1966</v>
      </c>
    </row>
    <row r="757" spans="1:9" x14ac:dyDescent="0.25">
      <c r="A757" t="s">
        <v>841</v>
      </c>
      <c r="B757" t="s">
        <v>304</v>
      </c>
      <c r="C757" s="3">
        <v>200</v>
      </c>
      <c r="D757" t="s">
        <v>53</v>
      </c>
      <c r="E757">
        <v>538467</v>
      </c>
      <c r="F757" t="s">
        <v>1562</v>
      </c>
      <c r="G757" t="s">
        <v>1696</v>
      </c>
      <c r="H757" s="4">
        <v>45758</v>
      </c>
      <c r="I757" t="s">
        <v>1966</v>
      </c>
    </row>
    <row r="758" spans="1:9" x14ac:dyDescent="0.25">
      <c r="A758" t="s">
        <v>840</v>
      </c>
      <c r="B758" t="s">
        <v>304</v>
      </c>
      <c r="C758" s="3">
        <v>100</v>
      </c>
      <c r="D758" t="s">
        <v>53</v>
      </c>
      <c r="E758">
        <v>538468</v>
      </c>
      <c r="F758" t="s">
        <v>1562</v>
      </c>
      <c r="G758" t="s">
        <v>1697</v>
      </c>
      <c r="H758" s="4">
        <v>45758</v>
      </c>
      <c r="I758" t="s">
        <v>1966</v>
      </c>
    </row>
    <row r="759" spans="1:9" x14ac:dyDescent="0.25">
      <c r="A759" t="s">
        <v>839</v>
      </c>
      <c r="B759" t="s">
        <v>304</v>
      </c>
      <c r="C759" s="3">
        <v>100</v>
      </c>
      <c r="D759" t="s">
        <v>53</v>
      </c>
      <c r="E759">
        <v>538469</v>
      </c>
      <c r="F759" t="s">
        <v>1562</v>
      </c>
      <c r="G759" t="s">
        <v>1698</v>
      </c>
      <c r="H759" s="4">
        <v>45758</v>
      </c>
      <c r="I759" t="s">
        <v>1966</v>
      </c>
    </row>
    <row r="760" spans="1:9" x14ac:dyDescent="0.25">
      <c r="A760" t="s">
        <v>838</v>
      </c>
      <c r="B760" t="s">
        <v>304</v>
      </c>
      <c r="C760" s="3">
        <v>100</v>
      </c>
      <c r="D760" t="s">
        <v>53</v>
      </c>
      <c r="E760">
        <v>538470</v>
      </c>
      <c r="F760" t="s">
        <v>1562</v>
      </c>
      <c r="G760" t="s">
        <v>1699</v>
      </c>
      <c r="H760" s="4">
        <v>45758</v>
      </c>
      <c r="I760" t="s">
        <v>1966</v>
      </c>
    </row>
    <row r="761" spans="1:9" x14ac:dyDescent="0.25">
      <c r="A761" t="s">
        <v>837</v>
      </c>
      <c r="B761" t="s">
        <v>304</v>
      </c>
      <c r="C761" s="3">
        <v>50</v>
      </c>
      <c r="D761" t="s">
        <v>53</v>
      </c>
      <c r="E761">
        <v>538471</v>
      </c>
      <c r="F761" t="s">
        <v>1562</v>
      </c>
      <c r="G761" t="s">
        <v>1700</v>
      </c>
      <c r="H761" s="4">
        <v>45758</v>
      </c>
      <c r="I761" t="s">
        <v>1966</v>
      </c>
    </row>
    <row r="762" spans="1:9" x14ac:dyDescent="0.25">
      <c r="A762" t="s">
        <v>31</v>
      </c>
      <c r="B762" t="s">
        <v>304</v>
      </c>
      <c r="C762" s="3">
        <v>100</v>
      </c>
      <c r="D762" t="s">
        <v>53</v>
      </c>
      <c r="E762">
        <v>538472</v>
      </c>
      <c r="F762" t="s">
        <v>1562</v>
      </c>
      <c r="G762" t="s">
        <v>1701</v>
      </c>
      <c r="H762" s="4">
        <v>45758</v>
      </c>
      <c r="I762" t="s">
        <v>1966</v>
      </c>
    </row>
    <row r="763" spans="1:9" x14ac:dyDescent="0.25">
      <c r="A763" t="s">
        <v>134</v>
      </c>
      <c r="B763" t="s">
        <v>304</v>
      </c>
      <c r="C763" s="3">
        <v>1000</v>
      </c>
      <c r="D763" t="s">
        <v>53</v>
      </c>
      <c r="E763">
        <v>538473</v>
      </c>
      <c r="F763" t="s">
        <v>1562</v>
      </c>
      <c r="G763" t="s">
        <v>1702</v>
      </c>
      <c r="H763" s="4">
        <v>45758</v>
      </c>
      <c r="I763" t="s">
        <v>1966</v>
      </c>
    </row>
    <row r="764" spans="1:9" x14ac:dyDescent="0.25">
      <c r="A764" t="s">
        <v>836</v>
      </c>
      <c r="B764" t="s">
        <v>304</v>
      </c>
      <c r="C764" s="3">
        <v>100</v>
      </c>
      <c r="D764" t="s">
        <v>53</v>
      </c>
      <c r="E764">
        <v>538474</v>
      </c>
      <c r="F764" t="s">
        <v>1562</v>
      </c>
      <c r="G764" t="s">
        <v>1703</v>
      </c>
      <c r="H764" s="4">
        <v>45758</v>
      </c>
      <c r="I764" t="s">
        <v>1966</v>
      </c>
    </row>
    <row r="765" spans="1:9" x14ac:dyDescent="0.25">
      <c r="A765" t="s">
        <v>835</v>
      </c>
      <c r="B765" t="s">
        <v>304</v>
      </c>
      <c r="C765" s="3">
        <v>100</v>
      </c>
      <c r="D765" t="s">
        <v>53</v>
      </c>
      <c r="E765">
        <v>538475</v>
      </c>
      <c r="F765" t="s">
        <v>1562</v>
      </c>
      <c r="G765" t="s">
        <v>1704</v>
      </c>
      <c r="H765" s="4">
        <v>45758</v>
      </c>
      <c r="I765" t="s">
        <v>1966</v>
      </c>
    </row>
    <row r="766" spans="1:9" x14ac:dyDescent="0.25">
      <c r="A766" t="s">
        <v>834</v>
      </c>
      <c r="B766" t="s">
        <v>304</v>
      </c>
      <c r="C766" s="3">
        <v>100</v>
      </c>
      <c r="D766" t="s">
        <v>53</v>
      </c>
      <c r="E766">
        <v>538476</v>
      </c>
      <c r="F766" t="s">
        <v>1562</v>
      </c>
      <c r="G766" t="s">
        <v>1705</v>
      </c>
      <c r="H766" s="4">
        <v>45758</v>
      </c>
      <c r="I766" t="s">
        <v>1966</v>
      </c>
    </row>
    <row r="767" spans="1:9" x14ac:dyDescent="0.25">
      <c r="A767" t="s">
        <v>731</v>
      </c>
      <c r="B767" t="s">
        <v>304</v>
      </c>
      <c r="C767" s="3">
        <v>25</v>
      </c>
      <c r="D767" t="s">
        <v>53</v>
      </c>
      <c r="E767">
        <v>538477</v>
      </c>
      <c r="F767" t="s">
        <v>1562</v>
      </c>
      <c r="G767" t="s">
        <v>1706</v>
      </c>
      <c r="H767" s="4">
        <v>45758</v>
      </c>
      <c r="I767" t="s">
        <v>1966</v>
      </c>
    </row>
    <row r="768" spans="1:9" x14ac:dyDescent="0.25">
      <c r="A768" t="s">
        <v>833</v>
      </c>
      <c r="B768" t="s">
        <v>304</v>
      </c>
      <c r="C768" s="3">
        <v>100</v>
      </c>
      <c r="D768" t="s">
        <v>53</v>
      </c>
      <c r="E768">
        <v>538478</v>
      </c>
      <c r="F768" t="s">
        <v>1562</v>
      </c>
      <c r="G768" t="s">
        <v>1707</v>
      </c>
      <c r="H768" s="4">
        <v>45758</v>
      </c>
      <c r="I768" t="s">
        <v>1966</v>
      </c>
    </row>
    <row r="769" spans="1:9" x14ac:dyDescent="0.25">
      <c r="A769" t="s">
        <v>133</v>
      </c>
      <c r="B769" t="s">
        <v>304</v>
      </c>
      <c r="C769" s="3">
        <v>600</v>
      </c>
      <c r="D769" t="s">
        <v>53</v>
      </c>
      <c r="E769">
        <v>538479</v>
      </c>
      <c r="F769" t="s">
        <v>1562</v>
      </c>
      <c r="G769" t="s">
        <v>1708</v>
      </c>
      <c r="H769" s="4">
        <v>45758</v>
      </c>
      <c r="I769" t="s">
        <v>1966</v>
      </c>
    </row>
    <row r="770" spans="1:9" x14ac:dyDescent="0.25">
      <c r="A770" t="s">
        <v>832</v>
      </c>
      <c r="B770" t="s">
        <v>304</v>
      </c>
      <c r="C770" s="3">
        <v>50</v>
      </c>
      <c r="D770" t="s">
        <v>53</v>
      </c>
      <c r="E770">
        <v>538480</v>
      </c>
      <c r="F770" t="s">
        <v>1562</v>
      </c>
      <c r="G770" t="s">
        <v>1709</v>
      </c>
      <c r="H770" s="4">
        <v>45758</v>
      </c>
      <c r="I770" t="s">
        <v>1966</v>
      </c>
    </row>
    <row r="771" spans="1:9" x14ac:dyDescent="0.25">
      <c r="A771" t="s">
        <v>267</v>
      </c>
      <c r="B771" t="s">
        <v>304</v>
      </c>
      <c r="C771" s="3">
        <v>100</v>
      </c>
      <c r="D771" t="s">
        <v>53</v>
      </c>
      <c r="E771">
        <v>538481</v>
      </c>
      <c r="F771" t="s">
        <v>1562</v>
      </c>
      <c r="G771" t="s">
        <v>1710</v>
      </c>
      <c r="H771" s="4">
        <v>45758</v>
      </c>
      <c r="I771" t="s">
        <v>1966</v>
      </c>
    </row>
    <row r="772" spans="1:9" x14ac:dyDescent="0.25">
      <c r="A772" t="s">
        <v>831</v>
      </c>
      <c r="B772" t="s">
        <v>304</v>
      </c>
      <c r="C772" s="3">
        <v>100</v>
      </c>
      <c r="D772" t="s">
        <v>53</v>
      </c>
      <c r="E772">
        <v>538482</v>
      </c>
      <c r="F772" t="s">
        <v>1562</v>
      </c>
      <c r="G772" t="s">
        <v>1711</v>
      </c>
      <c r="H772" s="4">
        <v>45758</v>
      </c>
      <c r="I772" t="s">
        <v>1966</v>
      </c>
    </row>
    <row r="773" spans="1:9" x14ac:dyDescent="0.25">
      <c r="A773" t="s">
        <v>856</v>
      </c>
      <c r="B773" t="s">
        <v>304</v>
      </c>
      <c r="C773" s="3">
        <v>500</v>
      </c>
      <c r="D773" t="s">
        <v>53</v>
      </c>
      <c r="E773">
        <v>538484</v>
      </c>
      <c r="F773" t="s">
        <v>1562</v>
      </c>
      <c r="G773" t="s">
        <v>1712</v>
      </c>
      <c r="H773" s="4">
        <v>45761</v>
      </c>
      <c r="I773" t="s">
        <v>1966</v>
      </c>
    </row>
    <row r="774" spans="1:9" x14ac:dyDescent="0.25">
      <c r="A774" t="s">
        <v>46</v>
      </c>
      <c r="B774" t="s">
        <v>304</v>
      </c>
      <c r="C774" s="3">
        <v>200</v>
      </c>
      <c r="D774" t="s">
        <v>53</v>
      </c>
      <c r="E774">
        <v>538485</v>
      </c>
      <c r="F774" t="s">
        <v>1562</v>
      </c>
      <c r="G774" t="s">
        <v>1712</v>
      </c>
      <c r="H774" s="4">
        <v>45761</v>
      </c>
      <c r="I774" t="s">
        <v>1966</v>
      </c>
    </row>
    <row r="775" spans="1:9" x14ac:dyDescent="0.25">
      <c r="A775" t="s">
        <v>855</v>
      </c>
      <c r="B775" t="s">
        <v>304</v>
      </c>
      <c r="C775" s="3">
        <v>250</v>
      </c>
      <c r="D775" t="s">
        <v>53</v>
      </c>
      <c r="E775">
        <v>538486</v>
      </c>
      <c r="F775" t="s">
        <v>1562</v>
      </c>
      <c r="G775" t="s">
        <v>1712</v>
      </c>
      <c r="H775" s="4">
        <v>45761</v>
      </c>
      <c r="I775" t="s">
        <v>1966</v>
      </c>
    </row>
    <row r="776" spans="1:9" x14ac:dyDescent="0.25">
      <c r="A776" t="s">
        <v>854</v>
      </c>
      <c r="B776" t="s">
        <v>304</v>
      </c>
      <c r="C776" s="3">
        <v>100</v>
      </c>
      <c r="D776" t="s">
        <v>53</v>
      </c>
      <c r="E776">
        <v>538487</v>
      </c>
      <c r="F776" t="s">
        <v>1562</v>
      </c>
      <c r="G776" t="s">
        <v>1712</v>
      </c>
      <c r="H776" s="4">
        <v>45761</v>
      </c>
      <c r="I776" t="s">
        <v>1966</v>
      </c>
    </row>
    <row r="777" spans="1:9" x14ac:dyDescent="0.25">
      <c r="A777" t="s">
        <v>853</v>
      </c>
      <c r="B777" t="s">
        <v>304</v>
      </c>
      <c r="C777" s="3">
        <v>100</v>
      </c>
      <c r="D777" t="s">
        <v>53</v>
      </c>
      <c r="E777">
        <v>538488</v>
      </c>
      <c r="F777" t="s">
        <v>1562</v>
      </c>
      <c r="G777" t="s">
        <v>1713</v>
      </c>
      <c r="H777" s="4">
        <v>45761</v>
      </c>
      <c r="I777" t="s">
        <v>1966</v>
      </c>
    </row>
    <row r="778" spans="1:9" x14ac:dyDescent="0.25">
      <c r="A778" t="s">
        <v>852</v>
      </c>
      <c r="B778" t="s">
        <v>304</v>
      </c>
      <c r="C778" s="3">
        <v>25</v>
      </c>
      <c r="D778" t="s">
        <v>53</v>
      </c>
      <c r="E778">
        <v>538489</v>
      </c>
      <c r="F778" t="s">
        <v>1562</v>
      </c>
      <c r="G778" t="s">
        <v>1713</v>
      </c>
      <c r="H778" s="4">
        <v>45761</v>
      </c>
      <c r="I778" t="s">
        <v>1966</v>
      </c>
    </row>
    <row r="779" spans="1:9" x14ac:dyDescent="0.25">
      <c r="A779" t="s">
        <v>851</v>
      </c>
      <c r="B779" t="s">
        <v>304</v>
      </c>
      <c r="C779" s="3">
        <v>500</v>
      </c>
      <c r="D779" t="s">
        <v>53</v>
      </c>
      <c r="E779">
        <v>538490</v>
      </c>
      <c r="F779" t="s">
        <v>1562</v>
      </c>
      <c r="G779" t="s">
        <v>1713</v>
      </c>
      <c r="H779" s="4">
        <v>45761</v>
      </c>
      <c r="I779" t="s">
        <v>1966</v>
      </c>
    </row>
    <row r="780" spans="1:9" x14ac:dyDescent="0.25">
      <c r="A780" t="s">
        <v>850</v>
      </c>
      <c r="B780" t="s">
        <v>304</v>
      </c>
      <c r="C780" s="3">
        <v>50</v>
      </c>
      <c r="D780" t="s">
        <v>53</v>
      </c>
      <c r="E780">
        <v>538491</v>
      </c>
      <c r="F780" t="s">
        <v>1562</v>
      </c>
      <c r="G780" t="s">
        <v>1713</v>
      </c>
      <c r="H780" s="4">
        <v>45761</v>
      </c>
      <c r="I780" t="s">
        <v>1966</v>
      </c>
    </row>
    <row r="781" spans="1:9" x14ac:dyDescent="0.25">
      <c r="A781" t="s">
        <v>41</v>
      </c>
      <c r="B781" t="s">
        <v>304</v>
      </c>
      <c r="C781" s="3">
        <v>50</v>
      </c>
      <c r="D781" t="s">
        <v>53</v>
      </c>
      <c r="E781">
        <v>538492</v>
      </c>
      <c r="F781" t="s">
        <v>1562</v>
      </c>
      <c r="G781" t="s">
        <v>1713</v>
      </c>
      <c r="H781" s="4">
        <v>45761</v>
      </c>
      <c r="I781" t="s">
        <v>1966</v>
      </c>
    </row>
    <row r="782" spans="1:9" x14ac:dyDescent="0.25">
      <c r="A782" t="s">
        <v>269</v>
      </c>
      <c r="B782" t="s">
        <v>304</v>
      </c>
      <c r="C782" s="3">
        <v>200</v>
      </c>
      <c r="D782" t="s">
        <v>53</v>
      </c>
      <c r="E782">
        <v>538493</v>
      </c>
      <c r="F782" t="s">
        <v>1562</v>
      </c>
      <c r="G782" t="s">
        <v>1712</v>
      </c>
      <c r="H782" s="4">
        <v>45761</v>
      </c>
      <c r="I782" t="s">
        <v>1966</v>
      </c>
    </row>
    <row r="783" spans="1:9" x14ac:dyDescent="0.25">
      <c r="A783" t="s">
        <v>849</v>
      </c>
      <c r="B783" t="s">
        <v>304</v>
      </c>
      <c r="C783" s="3">
        <v>25</v>
      </c>
      <c r="D783" t="s">
        <v>53</v>
      </c>
      <c r="E783">
        <v>538494</v>
      </c>
      <c r="F783" t="s">
        <v>1562</v>
      </c>
      <c r="G783" t="s">
        <v>1713</v>
      </c>
      <c r="H783" s="4">
        <v>45761</v>
      </c>
      <c r="I783" t="s">
        <v>1966</v>
      </c>
    </row>
    <row r="784" spans="1:9" x14ac:dyDescent="0.25">
      <c r="A784" t="s">
        <v>51</v>
      </c>
      <c r="B784" t="s">
        <v>304</v>
      </c>
      <c r="C784" s="3">
        <v>25</v>
      </c>
      <c r="D784" t="s">
        <v>53</v>
      </c>
      <c r="E784">
        <v>538495</v>
      </c>
      <c r="F784" t="s">
        <v>1562</v>
      </c>
      <c r="G784" t="s">
        <v>1713</v>
      </c>
      <c r="H784" s="4">
        <v>45761</v>
      </c>
      <c r="I784" t="s">
        <v>1966</v>
      </c>
    </row>
    <row r="785" spans="1:9" x14ac:dyDescent="0.25">
      <c r="A785" t="s">
        <v>848</v>
      </c>
      <c r="B785" t="s">
        <v>304</v>
      </c>
      <c r="C785" s="3">
        <v>25</v>
      </c>
      <c r="D785" t="s">
        <v>53</v>
      </c>
      <c r="E785">
        <v>538496</v>
      </c>
      <c r="F785" t="s">
        <v>1562</v>
      </c>
      <c r="G785" t="s">
        <v>1712</v>
      </c>
      <c r="H785" s="4">
        <v>45761</v>
      </c>
      <c r="I785" t="s">
        <v>1966</v>
      </c>
    </row>
    <row r="786" spans="1:9" x14ac:dyDescent="0.25">
      <c r="A786" t="s">
        <v>847</v>
      </c>
      <c r="B786" t="s">
        <v>304</v>
      </c>
      <c r="C786" s="3">
        <v>200</v>
      </c>
      <c r="D786" t="s">
        <v>53</v>
      </c>
      <c r="E786">
        <v>538497</v>
      </c>
      <c r="F786" t="s">
        <v>1562</v>
      </c>
      <c r="G786" t="s">
        <v>1712</v>
      </c>
      <c r="H786" s="4">
        <v>45761</v>
      </c>
      <c r="I786" t="s">
        <v>1966</v>
      </c>
    </row>
    <row r="787" spans="1:9" x14ac:dyDescent="0.25">
      <c r="A787" t="s">
        <v>846</v>
      </c>
      <c r="B787" t="s">
        <v>304</v>
      </c>
      <c r="C787" s="3">
        <v>100</v>
      </c>
      <c r="D787" t="s">
        <v>53</v>
      </c>
      <c r="E787">
        <v>538498</v>
      </c>
      <c r="F787" t="s">
        <v>1562</v>
      </c>
      <c r="G787" t="s">
        <v>1712</v>
      </c>
      <c r="H787" s="4">
        <v>45761</v>
      </c>
      <c r="I787" t="s">
        <v>1966</v>
      </c>
    </row>
    <row r="788" spans="1:9" x14ac:dyDescent="0.25">
      <c r="A788" t="s">
        <v>845</v>
      </c>
      <c r="B788" t="s">
        <v>304</v>
      </c>
      <c r="C788" s="3">
        <v>25</v>
      </c>
      <c r="D788" t="s">
        <v>53</v>
      </c>
      <c r="E788">
        <v>538499</v>
      </c>
      <c r="F788" t="s">
        <v>1562</v>
      </c>
      <c r="G788" t="s">
        <v>1712</v>
      </c>
      <c r="H788" s="4">
        <v>45761</v>
      </c>
      <c r="I788" t="s">
        <v>1966</v>
      </c>
    </row>
    <row r="789" spans="1:9" x14ac:dyDescent="0.25">
      <c r="A789" t="s">
        <v>844</v>
      </c>
      <c r="B789" t="s">
        <v>304</v>
      </c>
      <c r="C789" s="3">
        <v>100</v>
      </c>
      <c r="D789" t="s">
        <v>53</v>
      </c>
      <c r="E789">
        <v>538500</v>
      </c>
      <c r="F789" t="s">
        <v>1562</v>
      </c>
      <c r="G789" t="s">
        <v>1712</v>
      </c>
      <c r="H789" s="4">
        <v>45761</v>
      </c>
      <c r="I789" t="s">
        <v>1966</v>
      </c>
    </row>
    <row r="790" spans="1:9" x14ac:dyDescent="0.25">
      <c r="A790" t="s">
        <v>869</v>
      </c>
      <c r="B790" t="s">
        <v>304</v>
      </c>
      <c r="C790" s="3">
        <v>500</v>
      </c>
      <c r="D790" t="s">
        <v>53</v>
      </c>
      <c r="E790">
        <v>538502</v>
      </c>
      <c r="F790" t="s">
        <v>1562</v>
      </c>
      <c r="G790" t="s">
        <v>1714</v>
      </c>
      <c r="H790" s="4">
        <v>45762</v>
      </c>
      <c r="I790" t="s">
        <v>1966</v>
      </c>
    </row>
    <row r="791" spans="1:9" x14ac:dyDescent="0.25">
      <c r="A791" t="s">
        <v>868</v>
      </c>
      <c r="B791" t="s">
        <v>304</v>
      </c>
      <c r="C791" s="3">
        <v>250</v>
      </c>
      <c r="D791" t="s">
        <v>53</v>
      </c>
      <c r="E791">
        <v>538503</v>
      </c>
      <c r="F791" t="s">
        <v>1562</v>
      </c>
      <c r="G791" t="s">
        <v>1715</v>
      </c>
      <c r="H791" s="4">
        <v>45762</v>
      </c>
      <c r="I791" t="s">
        <v>1966</v>
      </c>
    </row>
    <row r="792" spans="1:9" x14ac:dyDescent="0.25">
      <c r="A792" t="s">
        <v>867</v>
      </c>
      <c r="B792" t="s">
        <v>304</v>
      </c>
      <c r="C792" s="3">
        <v>25</v>
      </c>
      <c r="D792" t="s">
        <v>53</v>
      </c>
      <c r="E792">
        <v>538504</v>
      </c>
      <c r="F792" t="s">
        <v>1562</v>
      </c>
      <c r="G792" t="s">
        <v>1716</v>
      </c>
      <c r="H792" s="4">
        <v>45762</v>
      </c>
      <c r="I792" t="s">
        <v>1966</v>
      </c>
    </row>
    <row r="793" spans="1:9" x14ac:dyDescent="0.25">
      <c r="A793" t="s">
        <v>866</v>
      </c>
      <c r="B793" t="s">
        <v>304</v>
      </c>
      <c r="C793" s="3">
        <v>50</v>
      </c>
      <c r="D793" t="s">
        <v>53</v>
      </c>
      <c r="E793">
        <v>538505</v>
      </c>
      <c r="F793" t="s">
        <v>1562</v>
      </c>
      <c r="G793" t="s">
        <v>1717</v>
      </c>
      <c r="H793" s="4">
        <v>45762</v>
      </c>
      <c r="I793" t="s">
        <v>1966</v>
      </c>
    </row>
    <row r="794" spans="1:9" x14ac:dyDescent="0.25">
      <c r="A794" t="s">
        <v>865</v>
      </c>
      <c r="B794" t="s">
        <v>304</v>
      </c>
      <c r="C794" s="3">
        <v>100</v>
      </c>
      <c r="D794" t="s">
        <v>53</v>
      </c>
      <c r="E794">
        <v>538506</v>
      </c>
      <c r="F794" t="s">
        <v>1562</v>
      </c>
      <c r="G794" t="s">
        <v>1718</v>
      </c>
      <c r="H794" s="4">
        <v>45762</v>
      </c>
      <c r="I794" t="s">
        <v>1966</v>
      </c>
    </row>
    <row r="795" spans="1:9" x14ac:dyDescent="0.25">
      <c r="A795" t="s">
        <v>864</v>
      </c>
      <c r="B795" t="s">
        <v>304</v>
      </c>
      <c r="C795" s="3">
        <v>400</v>
      </c>
      <c r="D795" t="s">
        <v>53</v>
      </c>
      <c r="E795">
        <v>538507</v>
      </c>
      <c r="F795" t="s">
        <v>1562</v>
      </c>
      <c r="G795" t="s">
        <v>1719</v>
      </c>
      <c r="H795" s="4">
        <v>45762</v>
      </c>
      <c r="I795" t="s">
        <v>1966</v>
      </c>
    </row>
    <row r="796" spans="1:9" x14ac:dyDescent="0.25">
      <c r="A796" t="s">
        <v>863</v>
      </c>
      <c r="B796" t="s">
        <v>304</v>
      </c>
      <c r="C796" s="3">
        <v>50</v>
      </c>
      <c r="D796" t="s">
        <v>53</v>
      </c>
      <c r="E796">
        <v>538508</v>
      </c>
      <c r="F796" t="s">
        <v>1562</v>
      </c>
      <c r="G796" t="s">
        <v>1720</v>
      </c>
      <c r="H796" s="4">
        <v>45762</v>
      </c>
      <c r="I796" t="s">
        <v>1966</v>
      </c>
    </row>
    <row r="797" spans="1:9" x14ac:dyDescent="0.25">
      <c r="A797" t="s">
        <v>862</v>
      </c>
      <c r="B797" t="s">
        <v>304</v>
      </c>
      <c r="C797" s="3">
        <v>50</v>
      </c>
      <c r="D797" t="s">
        <v>53</v>
      </c>
      <c r="E797">
        <v>538509</v>
      </c>
      <c r="F797" t="s">
        <v>1562</v>
      </c>
      <c r="G797" t="s">
        <v>1713</v>
      </c>
      <c r="H797" s="4">
        <v>45763</v>
      </c>
      <c r="I797" t="s">
        <v>1966</v>
      </c>
    </row>
    <row r="798" spans="1:9" x14ac:dyDescent="0.25">
      <c r="A798" t="s">
        <v>154</v>
      </c>
      <c r="B798" t="s">
        <v>304</v>
      </c>
      <c r="C798" s="3">
        <v>100</v>
      </c>
      <c r="D798" t="s">
        <v>53</v>
      </c>
      <c r="E798">
        <v>538510</v>
      </c>
      <c r="F798" t="s">
        <v>1562</v>
      </c>
      <c r="G798" t="s">
        <v>1690</v>
      </c>
      <c r="H798" s="4">
        <v>45763</v>
      </c>
      <c r="I798" t="s">
        <v>1966</v>
      </c>
    </row>
    <row r="799" spans="1:9" x14ac:dyDescent="0.25">
      <c r="A799" t="s">
        <v>861</v>
      </c>
      <c r="B799" t="s">
        <v>304</v>
      </c>
      <c r="C799" s="3">
        <v>100</v>
      </c>
      <c r="D799" t="s">
        <v>53</v>
      </c>
      <c r="E799">
        <v>538511</v>
      </c>
      <c r="F799" t="s">
        <v>1562</v>
      </c>
      <c r="G799" t="s">
        <v>1712</v>
      </c>
      <c r="H799" s="4">
        <v>45763</v>
      </c>
      <c r="I799" t="s">
        <v>1966</v>
      </c>
    </row>
    <row r="800" spans="1:9" x14ac:dyDescent="0.25">
      <c r="A800" t="s">
        <v>860</v>
      </c>
      <c r="B800" t="s">
        <v>304</v>
      </c>
      <c r="C800" s="3">
        <v>250</v>
      </c>
      <c r="D800" t="s">
        <v>53</v>
      </c>
      <c r="E800">
        <v>538512</v>
      </c>
      <c r="F800" t="s">
        <v>1562</v>
      </c>
      <c r="G800" t="s">
        <v>1713</v>
      </c>
      <c r="H800" s="4">
        <v>45763</v>
      </c>
      <c r="I800" t="s">
        <v>1966</v>
      </c>
    </row>
    <row r="801" spans="1:9" x14ac:dyDescent="0.25">
      <c r="A801" t="s">
        <v>859</v>
      </c>
      <c r="B801" t="s">
        <v>304</v>
      </c>
      <c r="C801" s="3">
        <v>50</v>
      </c>
      <c r="D801" t="s">
        <v>53</v>
      </c>
      <c r="E801">
        <v>538513</v>
      </c>
      <c r="F801" t="s">
        <v>1562</v>
      </c>
      <c r="G801" t="s">
        <v>1721</v>
      </c>
      <c r="H801" s="4">
        <v>45763</v>
      </c>
      <c r="I801" t="s">
        <v>1966</v>
      </c>
    </row>
    <row r="802" spans="1:9" x14ac:dyDescent="0.25">
      <c r="A802" t="s">
        <v>858</v>
      </c>
      <c r="B802" t="s">
        <v>304</v>
      </c>
      <c r="C802" s="3">
        <v>200</v>
      </c>
      <c r="D802" t="s">
        <v>53</v>
      </c>
      <c r="E802">
        <v>538514</v>
      </c>
      <c r="F802" t="s">
        <v>1562</v>
      </c>
      <c r="G802" t="s">
        <v>1712</v>
      </c>
      <c r="H802" s="4">
        <v>45763</v>
      </c>
      <c r="I802" t="s">
        <v>1966</v>
      </c>
    </row>
    <row r="803" spans="1:9" x14ac:dyDescent="0.25">
      <c r="A803" t="s">
        <v>842</v>
      </c>
      <c r="B803" t="s">
        <v>304</v>
      </c>
      <c r="C803" s="3">
        <v>100</v>
      </c>
      <c r="D803" t="s">
        <v>53</v>
      </c>
      <c r="E803">
        <v>538515</v>
      </c>
      <c r="F803" t="s">
        <v>1562</v>
      </c>
      <c r="G803" t="s">
        <v>1713</v>
      </c>
      <c r="H803" s="4">
        <v>45763</v>
      </c>
      <c r="I803" t="s">
        <v>1966</v>
      </c>
    </row>
    <row r="804" spans="1:9" x14ac:dyDescent="0.25">
      <c r="A804" t="s">
        <v>857</v>
      </c>
      <c r="B804" t="s">
        <v>304</v>
      </c>
      <c r="C804" s="3">
        <v>100</v>
      </c>
      <c r="D804" t="s">
        <v>53</v>
      </c>
      <c r="E804">
        <v>538516</v>
      </c>
      <c r="F804" t="s">
        <v>1562</v>
      </c>
      <c r="G804" t="s">
        <v>1712</v>
      </c>
      <c r="H804" s="4">
        <v>45763</v>
      </c>
      <c r="I804" t="s">
        <v>1966</v>
      </c>
    </row>
    <row r="805" spans="1:9" x14ac:dyDescent="0.25">
      <c r="A805" t="s">
        <v>761</v>
      </c>
      <c r="B805" t="s">
        <v>304</v>
      </c>
      <c r="C805" s="3">
        <v>50</v>
      </c>
      <c r="D805" t="s">
        <v>53</v>
      </c>
      <c r="E805">
        <v>538591</v>
      </c>
      <c r="F805" t="s">
        <v>1562</v>
      </c>
      <c r="G805" t="s">
        <v>1712</v>
      </c>
      <c r="H805" s="4">
        <v>45763</v>
      </c>
      <c r="I805" t="s">
        <v>1966</v>
      </c>
    </row>
    <row r="806" spans="1:9" x14ac:dyDescent="0.25">
      <c r="A806" t="s">
        <v>760</v>
      </c>
      <c r="B806" t="s">
        <v>304</v>
      </c>
      <c r="C806" s="3">
        <v>50</v>
      </c>
      <c r="D806" t="s">
        <v>53</v>
      </c>
      <c r="E806">
        <v>538592</v>
      </c>
      <c r="F806" t="s">
        <v>1562</v>
      </c>
      <c r="G806" t="s">
        <v>1713</v>
      </c>
      <c r="H806" s="4">
        <v>45763</v>
      </c>
      <c r="I806" t="s">
        <v>1966</v>
      </c>
    </row>
    <row r="807" spans="1:9" x14ac:dyDescent="0.25">
      <c r="A807" t="s">
        <v>759</v>
      </c>
      <c r="B807" t="s">
        <v>304</v>
      </c>
      <c r="C807" s="3">
        <v>100</v>
      </c>
      <c r="D807" t="s">
        <v>53</v>
      </c>
      <c r="E807">
        <v>538593</v>
      </c>
      <c r="F807" t="s">
        <v>1562</v>
      </c>
      <c r="G807" t="s">
        <v>1722</v>
      </c>
      <c r="H807" s="4">
        <v>45763</v>
      </c>
      <c r="I807" t="s">
        <v>1966</v>
      </c>
    </row>
    <row r="808" spans="1:9" x14ac:dyDescent="0.25">
      <c r="A808" t="s">
        <v>758</v>
      </c>
      <c r="B808" t="s">
        <v>304</v>
      </c>
      <c r="C808" s="3">
        <v>100</v>
      </c>
      <c r="D808" t="s">
        <v>53</v>
      </c>
      <c r="E808">
        <v>538594</v>
      </c>
      <c r="F808" t="s">
        <v>1562</v>
      </c>
      <c r="G808" t="s">
        <v>1722</v>
      </c>
      <c r="H808" s="4">
        <v>45763</v>
      </c>
      <c r="I808" t="s">
        <v>1966</v>
      </c>
    </row>
    <row r="809" spans="1:9" x14ac:dyDescent="0.25">
      <c r="A809" t="s">
        <v>757</v>
      </c>
      <c r="B809" t="s">
        <v>304</v>
      </c>
      <c r="C809" s="3">
        <v>50</v>
      </c>
      <c r="D809" t="s">
        <v>53</v>
      </c>
      <c r="E809">
        <v>538595</v>
      </c>
      <c r="F809" t="s">
        <v>1562</v>
      </c>
      <c r="G809" t="s">
        <v>1722</v>
      </c>
      <c r="H809" s="4">
        <v>45763</v>
      </c>
      <c r="I809" t="s">
        <v>1966</v>
      </c>
    </row>
    <row r="810" spans="1:9" x14ac:dyDescent="0.25">
      <c r="A810" t="s">
        <v>756</v>
      </c>
      <c r="B810" t="s">
        <v>304</v>
      </c>
      <c r="C810" s="3">
        <v>50</v>
      </c>
      <c r="D810" t="s">
        <v>53</v>
      </c>
      <c r="E810">
        <v>538596</v>
      </c>
      <c r="F810" t="s">
        <v>1562</v>
      </c>
      <c r="G810" t="s">
        <v>1722</v>
      </c>
      <c r="H810" s="4">
        <v>45763</v>
      </c>
      <c r="I810" t="s">
        <v>1966</v>
      </c>
    </row>
    <row r="811" spans="1:9" x14ac:dyDescent="0.25">
      <c r="A811" t="s">
        <v>755</v>
      </c>
      <c r="B811" t="s">
        <v>304</v>
      </c>
      <c r="C811" s="3">
        <v>50</v>
      </c>
      <c r="D811" t="s">
        <v>53</v>
      </c>
      <c r="E811">
        <v>538597</v>
      </c>
      <c r="F811" t="s">
        <v>1562</v>
      </c>
      <c r="G811" t="s">
        <v>1722</v>
      </c>
      <c r="H811" s="4">
        <v>45763</v>
      </c>
      <c r="I811" t="s">
        <v>1966</v>
      </c>
    </row>
    <row r="812" spans="1:9" x14ac:dyDescent="0.25">
      <c r="A812" t="s">
        <v>754</v>
      </c>
      <c r="B812" t="s">
        <v>304</v>
      </c>
      <c r="C812" s="3">
        <v>100</v>
      </c>
      <c r="D812" t="s">
        <v>53</v>
      </c>
      <c r="E812">
        <v>538598</v>
      </c>
      <c r="F812" t="s">
        <v>1562</v>
      </c>
      <c r="G812" t="s">
        <v>1722</v>
      </c>
      <c r="H812" s="4">
        <v>45763</v>
      </c>
      <c r="I812" t="s">
        <v>1966</v>
      </c>
    </row>
    <row r="813" spans="1:9" x14ac:dyDescent="0.25">
      <c r="A813" t="s">
        <v>753</v>
      </c>
      <c r="B813" t="s">
        <v>304</v>
      </c>
      <c r="C813" s="3">
        <v>50</v>
      </c>
      <c r="D813" t="s">
        <v>53</v>
      </c>
      <c r="E813">
        <v>538599</v>
      </c>
      <c r="F813" t="s">
        <v>1562</v>
      </c>
      <c r="G813" t="s">
        <v>1722</v>
      </c>
      <c r="H813" s="4">
        <v>45763</v>
      </c>
      <c r="I813" t="s">
        <v>1966</v>
      </c>
    </row>
    <row r="814" spans="1:9" x14ac:dyDescent="0.25">
      <c r="A814" t="s">
        <v>752</v>
      </c>
      <c r="B814" t="s">
        <v>304</v>
      </c>
      <c r="C814" s="3">
        <v>100</v>
      </c>
      <c r="D814" t="s">
        <v>53</v>
      </c>
      <c r="E814">
        <v>538600</v>
      </c>
      <c r="F814" t="s">
        <v>1562</v>
      </c>
      <c r="G814" t="s">
        <v>1722</v>
      </c>
      <c r="H814" s="4">
        <v>45763</v>
      </c>
      <c r="I814" t="s">
        <v>1966</v>
      </c>
    </row>
    <row r="815" spans="1:9" x14ac:dyDescent="0.25">
      <c r="A815" t="s">
        <v>751</v>
      </c>
      <c r="B815" t="s">
        <v>304</v>
      </c>
      <c r="C815" s="3">
        <v>25</v>
      </c>
      <c r="D815" t="s">
        <v>53</v>
      </c>
      <c r="E815">
        <v>538601</v>
      </c>
      <c r="F815" t="s">
        <v>1562</v>
      </c>
      <c r="G815" t="s">
        <v>1722</v>
      </c>
      <c r="H815" s="4">
        <v>45763</v>
      </c>
      <c r="I815" t="s">
        <v>1966</v>
      </c>
    </row>
    <row r="816" spans="1:9" x14ac:dyDescent="0.25">
      <c r="A816" t="s">
        <v>888</v>
      </c>
      <c r="B816" t="s">
        <v>304</v>
      </c>
      <c r="C816" s="3">
        <v>25</v>
      </c>
      <c r="D816" t="s">
        <v>53</v>
      </c>
      <c r="E816">
        <v>538605</v>
      </c>
      <c r="F816" t="s">
        <v>1562</v>
      </c>
      <c r="G816" t="s">
        <v>1722</v>
      </c>
      <c r="H816" s="4">
        <v>45768</v>
      </c>
      <c r="I816" t="s">
        <v>1966</v>
      </c>
    </row>
    <row r="817" spans="1:9" x14ac:dyDescent="0.25">
      <c r="A817" t="s">
        <v>887</v>
      </c>
      <c r="B817" t="s">
        <v>304</v>
      </c>
      <c r="C817" s="3">
        <v>50</v>
      </c>
      <c r="D817" t="s">
        <v>53</v>
      </c>
      <c r="E817">
        <v>538606</v>
      </c>
      <c r="F817" t="s">
        <v>1562</v>
      </c>
      <c r="G817" t="s">
        <v>1722</v>
      </c>
      <c r="H817" s="4">
        <v>45768</v>
      </c>
      <c r="I817" t="s">
        <v>1966</v>
      </c>
    </row>
    <row r="818" spans="1:9" x14ac:dyDescent="0.25">
      <c r="A818" t="s">
        <v>886</v>
      </c>
      <c r="B818" t="s">
        <v>304</v>
      </c>
      <c r="C818" s="3">
        <v>25</v>
      </c>
      <c r="D818" t="s">
        <v>53</v>
      </c>
      <c r="E818">
        <v>538607</v>
      </c>
      <c r="F818" t="s">
        <v>1562</v>
      </c>
      <c r="G818" t="s">
        <v>1722</v>
      </c>
      <c r="H818" s="4">
        <v>45768</v>
      </c>
      <c r="I818" t="s">
        <v>1966</v>
      </c>
    </row>
    <row r="819" spans="1:9" x14ac:dyDescent="0.25">
      <c r="A819" t="s">
        <v>885</v>
      </c>
      <c r="B819" t="s">
        <v>304</v>
      </c>
      <c r="C819" s="3">
        <v>50</v>
      </c>
      <c r="D819" t="s">
        <v>53</v>
      </c>
      <c r="E819">
        <v>538608</v>
      </c>
      <c r="F819" t="s">
        <v>1562</v>
      </c>
      <c r="G819" t="s">
        <v>1722</v>
      </c>
      <c r="H819" s="4">
        <v>45768</v>
      </c>
      <c r="I819" t="s">
        <v>1966</v>
      </c>
    </row>
    <row r="820" spans="1:9" x14ac:dyDescent="0.25">
      <c r="A820" t="s">
        <v>884</v>
      </c>
      <c r="B820" t="s">
        <v>304</v>
      </c>
      <c r="C820" s="3">
        <v>100</v>
      </c>
      <c r="D820" t="s">
        <v>53</v>
      </c>
      <c r="E820">
        <v>538609</v>
      </c>
      <c r="F820" t="s">
        <v>1562</v>
      </c>
      <c r="G820" t="s">
        <v>1722</v>
      </c>
      <c r="H820" s="4">
        <v>45768</v>
      </c>
      <c r="I820" t="s">
        <v>1966</v>
      </c>
    </row>
    <row r="821" spans="1:9" x14ac:dyDescent="0.25">
      <c r="A821" t="s">
        <v>883</v>
      </c>
      <c r="B821" t="s">
        <v>304</v>
      </c>
      <c r="C821" s="3">
        <v>100</v>
      </c>
      <c r="D821" t="s">
        <v>53</v>
      </c>
      <c r="E821">
        <v>538610</v>
      </c>
      <c r="F821" t="s">
        <v>1562</v>
      </c>
      <c r="G821" t="s">
        <v>1722</v>
      </c>
      <c r="H821" s="4">
        <v>45768</v>
      </c>
      <c r="I821" t="s">
        <v>1966</v>
      </c>
    </row>
    <row r="822" spans="1:9" x14ac:dyDescent="0.25">
      <c r="A822" t="s">
        <v>882</v>
      </c>
      <c r="B822" t="s">
        <v>304</v>
      </c>
      <c r="C822" s="3">
        <v>50</v>
      </c>
      <c r="D822" t="s">
        <v>53</v>
      </c>
      <c r="E822">
        <v>538611</v>
      </c>
      <c r="F822" t="s">
        <v>1562</v>
      </c>
      <c r="G822" t="s">
        <v>1722</v>
      </c>
      <c r="H822" s="4">
        <v>45768</v>
      </c>
      <c r="I822" t="s">
        <v>1966</v>
      </c>
    </row>
    <row r="823" spans="1:9" x14ac:dyDescent="0.25">
      <c r="A823" t="s">
        <v>881</v>
      </c>
      <c r="B823" t="s">
        <v>304</v>
      </c>
      <c r="C823" s="3">
        <v>25</v>
      </c>
      <c r="D823" t="s">
        <v>53</v>
      </c>
      <c r="E823">
        <v>538612</v>
      </c>
      <c r="F823" t="s">
        <v>1562</v>
      </c>
      <c r="G823" t="s">
        <v>1722</v>
      </c>
      <c r="H823" s="4">
        <v>45768</v>
      </c>
      <c r="I823" t="s">
        <v>1966</v>
      </c>
    </row>
    <row r="824" spans="1:9" x14ac:dyDescent="0.25">
      <c r="A824" t="s">
        <v>880</v>
      </c>
      <c r="B824" t="s">
        <v>304</v>
      </c>
      <c r="C824" s="3">
        <v>50</v>
      </c>
      <c r="D824" t="s">
        <v>53</v>
      </c>
      <c r="E824">
        <v>538613</v>
      </c>
      <c r="F824" t="s">
        <v>1562</v>
      </c>
      <c r="G824" t="s">
        <v>1713</v>
      </c>
      <c r="H824" s="4">
        <v>45768</v>
      </c>
      <c r="I824" t="s">
        <v>1966</v>
      </c>
    </row>
    <row r="825" spans="1:9" x14ac:dyDescent="0.25">
      <c r="A825" t="s">
        <v>879</v>
      </c>
      <c r="B825" t="s">
        <v>304</v>
      </c>
      <c r="C825" s="3">
        <v>50</v>
      </c>
      <c r="D825" t="s">
        <v>53</v>
      </c>
      <c r="E825">
        <v>538614</v>
      </c>
      <c r="F825" t="s">
        <v>1562</v>
      </c>
      <c r="G825" t="s">
        <v>1713</v>
      </c>
      <c r="H825" s="4">
        <v>45768</v>
      </c>
      <c r="I825" t="s">
        <v>1966</v>
      </c>
    </row>
    <row r="826" spans="1:9" x14ac:dyDescent="0.25">
      <c r="A826" t="s">
        <v>878</v>
      </c>
      <c r="B826" t="s">
        <v>304</v>
      </c>
      <c r="C826" s="3">
        <v>110</v>
      </c>
      <c r="D826" t="s">
        <v>53</v>
      </c>
      <c r="E826">
        <v>538615</v>
      </c>
      <c r="F826" t="s">
        <v>1562</v>
      </c>
      <c r="G826" t="s">
        <v>1721</v>
      </c>
      <c r="H826" s="4">
        <v>45768</v>
      </c>
      <c r="I826" t="s">
        <v>1966</v>
      </c>
    </row>
    <row r="827" spans="1:9" x14ac:dyDescent="0.25">
      <c r="A827" t="s">
        <v>877</v>
      </c>
      <c r="B827" t="s">
        <v>304</v>
      </c>
      <c r="C827" s="3">
        <v>250</v>
      </c>
      <c r="D827" t="s">
        <v>53</v>
      </c>
      <c r="E827">
        <v>538616</v>
      </c>
      <c r="F827" t="s">
        <v>1562</v>
      </c>
      <c r="G827" t="s">
        <v>1712</v>
      </c>
      <c r="H827" s="4">
        <v>45768</v>
      </c>
      <c r="I827" t="s">
        <v>1966</v>
      </c>
    </row>
    <row r="828" spans="1:9" x14ac:dyDescent="0.25">
      <c r="A828" t="s">
        <v>876</v>
      </c>
      <c r="B828" t="s">
        <v>304</v>
      </c>
      <c r="C828" s="3">
        <v>100</v>
      </c>
      <c r="D828" t="s">
        <v>53</v>
      </c>
      <c r="E828">
        <v>538617</v>
      </c>
      <c r="F828" t="s">
        <v>1562</v>
      </c>
      <c r="G828" t="s">
        <v>1712</v>
      </c>
      <c r="H828" s="4">
        <v>45768</v>
      </c>
      <c r="I828" t="s">
        <v>1966</v>
      </c>
    </row>
    <row r="829" spans="1:9" x14ac:dyDescent="0.25">
      <c r="A829" t="s">
        <v>875</v>
      </c>
      <c r="B829" t="s">
        <v>304</v>
      </c>
      <c r="C829" s="3">
        <v>100</v>
      </c>
      <c r="D829" t="s">
        <v>53</v>
      </c>
      <c r="E829">
        <v>538618</v>
      </c>
      <c r="F829" t="s">
        <v>1562</v>
      </c>
      <c r="G829" t="s">
        <v>1712</v>
      </c>
      <c r="H829" s="4">
        <v>45768</v>
      </c>
      <c r="I829" t="s">
        <v>1966</v>
      </c>
    </row>
    <row r="830" spans="1:9" x14ac:dyDescent="0.25">
      <c r="A830" t="s">
        <v>874</v>
      </c>
      <c r="B830" t="s">
        <v>304</v>
      </c>
      <c r="C830" s="3">
        <v>150</v>
      </c>
      <c r="D830" t="s">
        <v>53</v>
      </c>
      <c r="E830">
        <v>538619</v>
      </c>
      <c r="F830" t="s">
        <v>1562</v>
      </c>
      <c r="G830" t="s">
        <v>1712</v>
      </c>
      <c r="H830" s="4">
        <v>45768</v>
      </c>
      <c r="I830" t="s">
        <v>1966</v>
      </c>
    </row>
    <row r="831" spans="1:9" x14ac:dyDescent="0.25">
      <c r="A831" t="s">
        <v>873</v>
      </c>
      <c r="B831" t="s">
        <v>304</v>
      </c>
      <c r="C831" s="3">
        <v>100</v>
      </c>
      <c r="D831" t="s">
        <v>53</v>
      </c>
      <c r="E831">
        <v>538620</v>
      </c>
      <c r="F831" t="s">
        <v>1562</v>
      </c>
      <c r="G831" t="s">
        <v>1712</v>
      </c>
      <c r="H831" s="4">
        <v>45768</v>
      </c>
      <c r="I831" t="s">
        <v>1966</v>
      </c>
    </row>
    <row r="832" spans="1:9" x14ac:dyDescent="0.25">
      <c r="A832" t="s">
        <v>872</v>
      </c>
      <c r="B832" t="s">
        <v>304</v>
      </c>
      <c r="C832" s="3">
        <v>50</v>
      </c>
      <c r="D832" t="s">
        <v>53</v>
      </c>
      <c r="E832">
        <v>538621</v>
      </c>
      <c r="F832" t="s">
        <v>1562</v>
      </c>
      <c r="G832" t="s">
        <v>1712</v>
      </c>
      <c r="H832" s="4">
        <v>45768</v>
      </c>
      <c r="I832" t="s">
        <v>1966</v>
      </c>
    </row>
    <row r="833" spans="1:9" x14ac:dyDescent="0.25">
      <c r="A833" t="s">
        <v>871</v>
      </c>
      <c r="B833" t="s">
        <v>304</v>
      </c>
      <c r="C833" s="3">
        <v>50</v>
      </c>
      <c r="D833" t="s">
        <v>53</v>
      </c>
      <c r="E833">
        <v>538622</v>
      </c>
      <c r="F833" t="s">
        <v>1562</v>
      </c>
      <c r="G833" t="s">
        <v>1713</v>
      </c>
      <c r="H833" s="4">
        <v>45768</v>
      </c>
      <c r="I833" t="s">
        <v>1966</v>
      </c>
    </row>
    <row r="834" spans="1:9" x14ac:dyDescent="0.25">
      <c r="A834" t="s">
        <v>870</v>
      </c>
      <c r="B834" t="s">
        <v>304</v>
      </c>
      <c r="C834" s="3">
        <v>50</v>
      </c>
      <c r="D834" t="s">
        <v>53</v>
      </c>
      <c r="E834">
        <v>538623</v>
      </c>
      <c r="F834" t="s">
        <v>1562</v>
      </c>
      <c r="G834" t="s">
        <v>1721</v>
      </c>
      <c r="H834" s="4">
        <v>45768</v>
      </c>
      <c r="I834" t="s">
        <v>1966</v>
      </c>
    </row>
    <row r="835" spans="1:9" x14ac:dyDescent="0.25">
      <c r="A835" t="s">
        <v>434</v>
      </c>
      <c r="B835" t="s">
        <v>304</v>
      </c>
      <c r="C835" s="3">
        <v>250</v>
      </c>
      <c r="D835" t="s">
        <v>53</v>
      </c>
      <c r="E835">
        <v>538624</v>
      </c>
      <c r="F835" t="s">
        <v>1562</v>
      </c>
      <c r="G835" t="s">
        <v>1712</v>
      </c>
      <c r="H835" s="4">
        <v>45768</v>
      </c>
      <c r="I835" t="s">
        <v>1966</v>
      </c>
    </row>
    <row r="836" spans="1:9" x14ac:dyDescent="0.25">
      <c r="A836" t="s">
        <v>664</v>
      </c>
      <c r="B836" t="s">
        <v>304</v>
      </c>
      <c r="C836" s="3">
        <v>50</v>
      </c>
      <c r="D836" t="s">
        <v>53</v>
      </c>
      <c r="E836">
        <v>538626</v>
      </c>
      <c r="F836" t="s">
        <v>1562</v>
      </c>
      <c r="G836" t="s">
        <v>1722</v>
      </c>
      <c r="H836" s="4">
        <v>45769</v>
      </c>
      <c r="I836" t="s">
        <v>1966</v>
      </c>
    </row>
    <row r="837" spans="1:9" x14ac:dyDescent="0.25">
      <c r="A837" t="s">
        <v>663</v>
      </c>
      <c r="B837" t="s">
        <v>304</v>
      </c>
      <c r="C837" s="3">
        <v>50</v>
      </c>
      <c r="D837" t="s">
        <v>53</v>
      </c>
      <c r="E837">
        <v>538627</v>
      </c>
      <c r="F837" t="s">
        <v>1562</v>
      </c>
      <c r="G837" t="s">
        <v>1712</v>
      </c>
      <c r="H837" s="4">
        <v>45769</v>
      </c>
      <c r="I837" t="s">
        <v>1966</v>
      </c>
    </row>
    <row r="838" spans="1:9" x14ac:dyDescent="0.25">
      <c r="A838" t="s">
        <v>662</v>
      </c>
      <c r="B838" t="s">
        <v>304</v>
      </c>
      <c r="C838" s="3">
        <v>50</v>
      </c>
      <c r="D838" t="s">
        <v>53</v>
      </c>
      <c r="E838">
        <v>538628</v>
      </c>
      <c r="F838" t="s">
        <v>1562</v>
      </c>
      <c r="G838" t="s">
        <v>1712</v>
      </c>
      <c r="H838" s="4">
        <v>45769</v>
      </c>
      <c r="I838" t="s">
        <v>1966</v>
      </c>
    </row>
    <row r="839" spans="1:9" x14ac:dyDescent="0.25">
      <c r="A839" t="s">
        <v>661</v>
      </c>
      <c r="B839" t="s">
        <v>304</v>
      </c>
      <c r="C839" s="3">
        <v>100</v>
      </c>
      <c r="D839" t="s">
        <v>53</v>
      </c>
      <c r="E839">
        <v>538629</v>
      </c>
      <c r="F839" t="s">
        <v>1562</v>
      </c>
      <c r="G839" t="s">
        <v>1722</v>
      </c>
      <c r="H839" s="4">
        <v>45769</v>
      </c>
      <c r="I839" t="s">
        <v>1966</v>
      </c>
    </row>
    <row r="840" spans="1:9" x14ac:dyDescent="0.25">
      <c r="A840" t="s">
        <v>660</v>
      </c>
      <c r="B840" t="s">
        <v>304</v>
      </c>
      <c r="C840" s="3">
        <v>250</v>
      </c>
      <c r="D840" t="s">
        <v>53</v>
      </c>
      <c r="E840">
        <v>538630</v>
      </c>
      <c r="F840" t="s">
        <v>1562</v>
      </c>
      <c r="G840" t="s">
        <v>1713</v>
      </c>
      <c r="H840" s="4">
        <v>45769</v>
      </c>
      <c r="I840" t="s">
        <v>1966</v>
      </c>
    </row>
    <row r="841" spans="1:9" x14ac:dyDescent="0.25">
      <c r="A841" t="s">
        <v>659</v>
      </c>
      <c r="B841" t="s">
        <v>304</v>
      </c>
      <c r="C841" s="3">
        <v>500</v>
      </c>
      <c r="D841" t="s">
        <v>53</v>
      </c>
      <c r="E841">
        <v>538631</v>
      </c>
      <c r="F841" t="s">
        <v>1562</v>
      </c>
      <c r="G841" t="s">
        <v>1690</v>
      </c>
      <c r="H841" s="4">
        <v>45769</v>
      </c>
      <c r="I841" t="s">
        <v>1966</v>
      </c>
    </row>
    <row r="842" spans="1:9" x14ac:dyDescent="0.25">
      <c r="A842" t="s">
        <v>658</v>
      </c>
      <c r="B842" t="s">
        <v>304</v>
      </c>
      <c r="C842" s="3">
        <v>50</v>
      </c>
      <c r="D842" t="s">
        <v>53</v>
      </c>
      <c r="E842">
        <v>538633</v>
      </c>
      <c r="F842" t="s">
        <v>1562</v>
      </c>
      <c r="G842" t="s">
        <v>1713</v>
      </c>
      <c r="H842" s="4">
        <v>45770</v>
      </c>
      <c r="I842" t="s">
        <v>1966</v>
      </c>
    </row>
    <row r="843" spans="1:9" x14ac:dyDescent="0.25">
      <c r="A843" t="s">
        <v>657</v>
      </c>
      <c r="B843" t="s">
        <v>304</v>
      </c>
      <c r="C843" s="3">
        <v>100</v>
      </c>
      <c r="D843" t="s">
        <v>53</v>
      </c>
      <c r="E843">
        <v>538634</v>
      </c>
      <c r="F843" t="s">
        <v>1562</v>
      </c>
      <c r="G843" t="s">
        <v>1713</v>
      </c>
      <c r="H843" s="4">
        <v>45770</v>
      </c>
      <c r="I843" t="s">
        <v>1966</v>
      </c>
    </row>
    <row r="844" spans="1:9" x14ac:dyDescent="0.25">
      <c r="A844" t="s">
        <v>656</v>
      </c>
      <c r="B844" t="s">
        <v>304</v>
      </c>
      <c r="C844" s="3">
        <v>100</v>
      </c>
      <c r="D844" t="s">
        <v>53</v>
      </c>
      <c r="E844">
        <v>538635</v>
      </c>
      <c r="F844" t="s">
        <v>1562</v>
      </c>
      <c r="G844" t="s">
        <v>1722</v>
      </c>
      <c r="H844" s="4">
        <v>45770</v>
      </c>
      <c r="I844" t="s">
        <v>1966</v>
      </c>
    </row>
    <row r="845" spans="1:9" x14ac:dyDescent="0.25">
      <c r="A845" t="s">
        <v>655</v>
      </c>
      <c r="B845" t="s">
        <v>304</v>
      </c>
      <c r="C845" s="3">
        <v>50</v>
      </c>
      <c r="D845" t="s">
        <v>53</v>
      </c>
      <c r="E845">
        <v>538636</v>
      </c>
      <c r="F845" t="s">
        <v>1562</v>
      </c>
      <c r="G845" t="s">
        <v>1712</v>
      </c>
      <c r="H845" s="4">
        <v>45770</v>
      </c>
      <c r="I845" t="s">
        <v>1966</v>
      </c>
    </row>
    <row r="846" spans="1:9" x14ac:dyDescent="0.25">
      <c r="A846" t="s">
        <v>654</v>
      </c>
      <c r="B846" t="s">
        <v>304</v>
      </c>
      <c r="C846" s="3">
        <v>250</v>
      </c>
      <c r="D846" t="s">
        <v>53</v>
      </c>
      <c r="E846">
        <v>538637</v>
      </c>
      <c r="F846" t="s">
        <v>1562</v>
      </c>
      <c r="G846" t="s">
        <v>1712</v>
      </c>
      <c r="H846" s="4">
        <v>45770</v>
      </c>
      <c r="I846" t="s">
        <v>1966</v>
      </c>
    </row>
    <row r="847" spans="1:9" x14ac:dyDescent="0.25">
      <c r="A847" t="s">
        <v>667</v>
      </c>
      <c r="B847" t="s">
        <v>304</v>
      </c>
      <c r="C847" s="3">
        <v>250</v>
      </c>
      <c r="D847" t="s">
        <v>53</v>
      </c>
      <c r="E847">
        <v>538639</v>
      </c>
      <c r="F847" t="s">
        <v>1562</v>
      </c>
      <c r="G847" t="s">
        <v>1721</v>
      </c>
      <c r="H847" s="4">
        <v>45771</v>
      </c>
      <c r="I847" t="s">
        <v>1966</v>
      </c>
    </row>
    <row r="848" spans="1:9" x14ac:dyDescent="0.25">
      <c r="A848" t="s">
        <v>666</v>
      </c>
      <c r="B848" t="s">
        <v>304</v>
      </c>
      <c r="C848" s="3">
        <v>50</v>
      </c>
      <c r="D848" t="s">
        <v>53</v>
      </c>
      <c r="E848">
        <v>538640</v>
      </c>
      <c r="F848" t="s">
        <v>1562</v>
      </c>
      <c r="G848" t="s">
        <v>1713</v>
      </c>
      <c r="H848" s="4">
        <v>45771</v>
      </c>
      <c r="I848" t="s">
        <v>1966</v>
      </c>
    </row>
    <row r="849" spans="1:9" x14ac:dyDescent="0.25">
      <c r="A849" t="s">
        <v>665</v>
      </c>
      <c r="B849" t="s">
        <v>304</v>
      </c>
      <c r="C849" s="3">
        <v>25</v>
      </c>
      <c r="D849" t="s">
        <v>53</v>
      </c>
      <c r="E849">
        <v>538641</v>
      </c>
      <c r="F849" t="s">
        <v>1562</v>
      </c>
      <c r="G849" t="s">
        <v>1713</v>
      </c>
      <c r="H849" s="4">
        <v>45771</v>
      </c>
      <c r="I849" t="s">
        <v>1966</v>
      </c>
    </row>
    <row r="850" spans="1:9" x14ac:dyDescent="0.25">
      <c r="A850" t="s">
        <v>668</v>
      </c>
      <c r="B850" t="s">
        <v>304</v>
      </c>
      <c r="C850" s="3">
        <v>50</v>
      </c>
      <c r="D850" t="s">
        <v>53</v>
      </c>
      <c r="E850">
        <v>538644</v>
      </c>
      <c r="F850" t="s">
        <v>1562</v>
      </c>
      <c r="G850" t="s">
        <v>1713</v>
      </c>
      <c r="H850" s="4">
        <v>45772</v>
      </c>
      <c r="I850" t="s">
        <v>1966</v>
      </c>
    </row>
    <row r="851" spans="1:9" x14ac:dyDescent="0.25">
      <c r="A851" t="s">
        <v>644</v>
      </c>
      <c r="B851" t="s">
        <v>304</v>
      </c>
      <c r="C851" s="3">
        <v>100</v>
      </c>
      <c r="D851" t="s">
        <v>53</v>
      </c>
      <c r="E851">
        <v>538646</v>
      </c>
      <c r="F851" t="s">
        <v>1562</v>
      </c>
      <c r="G851" t="s">
        <v>1713</v>
      </c>
      <c r="H851" s="4">
        <v>45775</v>
      </c>
      <c r="I851" t="s">
        <v>1966</v>
      </c>
    </row>
    <row r="852" spans="1:9" x14ac:dyDescent="0.25">
      <c r="A852" t="s">
        <v>643</v>
      </c>
      <c r="B852" t="s">
        <v>304</v>
      </c>
      <c r="C852" s="3">
        <v>100</v>
      </c>
      <c r="D852" t="s">
        <v>53</v>
      </c>
      <c r="E852">
        <v>538647</v>
      </c>
      <c r="F852" t="s">
        <v>1562</v>
      </c>
      <c r="G852" t="s">
        <v>1712</v>
      </c>
      <c r="H852" s="4">
        <v>45775</v>
      </c>
      <c r="I852" t="s">
        <v>1966</v>
      </c>
    </row>
    <row r="853" spans="1:9" x14ac:dyDescent="0.25">
      <c r="A853" t="s">
        <v>306</v>
      </c>
      <c r="B853" t="s">
        <v>304</v>
      </c>
      <c r="C853" s="3">
        <v>1000</v>
      </c>
      <c r="D853" t="s">
        <v>53</v>
      </c>
      <c r="E853">
        <v>536620</v>
      </c>
      <c r="F853" t="s">
        <v>1562</v>
      </c>
      <c r="H853" s="4">
        <v>45775</v>
      </c>
      <c r="I853" t="s">
        <v>1966</v>
      </c>
    </row>
    <row r="854" spans="1:9" x14ac:dyDescent="0.25">
      <c r="A854" t="s">
        <v>305</v>
      </c>
      <c r="B854" t="s">
        <v>304</v>
      </c>
      <c r="C854" s="3">
        <v>50</v>
      </c>
      <c r="D854" t="s">
        <v>53</v>
      </c>
      <c r="E854">
        <v>536649</v>
      </c>
      <c r="F854" t="s">
        <v>1562</v>
      </c>
      <c r="H854" s="4">
        <v>45776</v>
      </c>
      <c r="I854" t="s">
        <v>1966</v>
      </c>
    </row>
    <row r="855" spans="1:9" x14ac:dyDescent="0.25">
      <c r="A855" t="s">
        <v>45</v>
      </c>
      <c r="B855" t="s">
        <v>304</v>
      </c>
      <c r="C855" s="3">
        <v>500</v>
      </c>
      <c r="D855" t="s">
        <v>53</v>
      </c>
      <c r="E855">
        <v>538649</v>
      </c>
      <c r="F855" t="s">
        <v>1562</v>
      </c>
      <c r="G855" t="s">
        <v>1722</v>
      </c>
      <c r="H855" s="4">
        <v>45776</v>
      </c>
      <c r="I855" t="s">
        <v>1966</v>
      </c>
    </row>
    <row r="856" spans="1:9" x14ac:dyDescent="0.25">
      <c r="A856" t="s">
        <v>645</v>
      </c>
      <c r="B856" t="s">
        <v>304</v>
      </c>
      <c r="C856" s="3">
        <v>100</v>
      </c>
      <c r="D856" t="s">
        <v>53</v>
      </c>
      <c r="E856">
        <v>538650</v>
      </c>
      <c r="F856" t="s">
        <v>1562</v>
      </c>
      <c r="G856" t="s">
        <v>1712</v>
      </c>
      <c r="H856" s="4">
        <v>45776</v>
      </c>
      <c r="I856" t="s">
        <v>1966</v>
      </c>
    </row>
    <row r="857" spans="1:9" x14ac:dyDescent="0.25">
      <c r="A857" t="s">
        <v>648</v>
      </c>
      <c r="B857" t="s">
        <v>304</v>
      </c>
      <c r="C857" s="3">
        <v>100</v>
      </c>
      <c r="D857" t="s">
        <v>53</v>
      </c>
      <c r="E857">
        <v>538652</v>
      </c>
      <c r="F857" t="s">
        <v>1562</v>
      </c>
      <c r="G857" t="s">
        <v>1690</v>
      </c>
      <c r="H857" s="4">
        <v>45777</v>
      </c>
      <c r="I857" t="s">
        <v>1966</v>
      </c>
    </row>
    <row r="858" spans="1:9" x14ac:dyDescent="0.25">
      <c r="A858" t="s">
        <v>647</v>
      </c>
      <c r="B858" t="s">
        <v>304</v>
      </c>
      <c r="C858" s="3">
        <v>50</v>
      </c>
      <c r="D858" t="s">
        <v>53</v>
      </c>
      <c r="E858">
        <v>538653</v>
      </c>
      <c r="F858" t="s">
        <v>1562</v>
      </c>
      <c r="G858" t="s">
        <v>1723</v>
      </c>
      <c r="H858" s="4">
        <v>45777</v>
      </c>
      <c r="I858" t="s">
        <v>1966</v>
      </c>
    </row>
    <row r="859" spans="1:9" x14ac:dyDescent="0.25">
      <c r="A859" t="s">
        <v>646</v>
      </c>
      <c r="B859" t="s">
        <v>304</v>
      </c>
      <c r="C859" s="3">
        <v>100</v>
      </c>
      <c r="D859" t="s">
        <v>53</v>
      </c>
      <c r="E859">
        <v>538654</v>
      </c>
      <c r="F859" t="s">
        <v>1562</v>
      </c>
      <c r="G859" t="s">
        <v>1713</v>
      </c>
      <c r="H859" s="4">
        <v>45777</v>
      </c>
      <c r="I859" t="s">
        <v>1966</v>
      </c>
    </row>
    <row r="860" spans="1:9" x14ac:dyDescent="0.25">
      <c r="A860" t="s">
        <v>653</v>
      </c>
      <c r="B860" t="s">
        <v>304</v>
      </c>
      <c r="C860" s="3">
        <v>50</v>
      </c>
      <c r="D860" t="s">
        <v>53</v>
      </c>
      <c r="E860">
        <v>538657</v>
      </c>
      <c r="F860" t="s">
        <v>1562</v>
      </c>
      <c r="G860" t="s">
        <v>1691</v>
      </c>
      <c r="H860" s="4">
        <v>45777</v>
      </c>
      <c r="I860" t="s">
        <v>1966</v>
      </c>
    </row>
    <row r="861" spans="1:9" x14ac:dyDescent="0.25">
      <c r="A861" t="s">
        <v>642</v>
      </c>
      <c r="B861" t="s">
        <v>304</v>
      </c>
      <c r="C861" s="3">
        <v>100</v>
      </c>
      <c r="D861" t="s">
        <v>53</v>
      </c>
      <c r="E861">
        <v>539006</v>
      </c>
      <c r="F861" t="s">
        <v>1562</v>
      </c>
      <c r="G861" t="s">
        <v>1690</v>
      </c>
      <c r="H861" s="4">
        <v>45778</v>
      </c>
      <c r="I861" t="s">
        <v>1966</v>
      </c>
    </row>
    <row r="862" spans="1:9" x14ac:dyDescent="0.25">
      <c r="A862" t="s">
        <v>14</v>
      </c>
      <c r="B862" t="s">
        <v>304</v>
      </c>
      <c r="C862" s="3">
        <v>50</v>
      </c>
      <c r="D862" t="s">
        <v>53</v>
      </c>
      <c r="E862">
        <v>536891</v>
      </c>
      <c r="F862" t="s">
        <v>1562</v>
      </c>
      <c r="G862" t="s">
        <v>1690</v>
      </c>
      <c r="H862" s="4">
        <v>45779</v>
      </c>
      <c r="I862" t="s">
        <v>1966</v>
      </c>
    </row>
    <row r="863" spans="1:9" x14ac:dyDescent="0.25">
      <c r="A863" t="s">
        <v>316</v>
      </c>
      <c r="B863" t="s">
        <v>304</v>
      </c>
      <c r="C863" s="3">
        <v>100</v>
      </c>
      <c r="D863" t="s">
        <v>53</v>
      </c>
      <c r="E863">
        <v>536892</v>
      </c>
      <c r="F863" t="s">
        <v>1562</v>
      </c>
      <c r="G863" t="s">
        <v>1690</v>
      </c>
      <c r="H863" s="4">
        <v>45779</v>
      </c>
      <c r="I863" t="s">
        <v>1966</v>
      </c>
    </row>
    <row r="864" spans="1:9" x14ac:dyDescent="0.25">
      <c r="A864" t="s">
        <v>315</v>
      </c>
      <c r="B864" t="s">
        <v>304</v>
      </c>
      <c r="C864" s="3">
        <v>100</v>
      </c>
      <c r="D864" t="s">
        <v>53</v>
      </c>
      <c r="E864">
        <v>536893</v>
      </c>
      <c r="F864" t="s">
        <v>1562</v>
      </c>
      <c r="G864" t="s">
        <v>1690</v>
      </c>
      <c r="H864" s="4">
        <v>45779</v>
      </c>
      <c r="I864" t="s">
        <v>1966</v>
      </c>
    </row>
    <row r="865" spans="1:9" x14ac:dyDescent="0.25">
      <c r="A865" t="s">
        <v>314</v>
      </c>
      <c r="B865" t="s">
        <v>304</v>
      </c>
      <c r="C865" s="3">
        <v>50</v>
      </c>
      <c r="D865" t="s">
        <v>53</v>
      </c>
      <c r="E865">
        <v>536894</v>
      </c>
      <c r="F865" t="s">
        <v>1562</v>
      </c>
      <c r="G865" t="s">
        <v>1690</v>
      </c>
      <c r="H865" s="4">
        <v>45779</v>
      </c>
      <c r="I865" t="s">
        <v>1966</v>
      </c>
    </row>
    <row r="866" spans="1:9" x14ac:dyDescent="0.25">
      <c r="A866" t="s">
        <v>313</v>
      </c>
      <c r="B866" t="s">
        <v>304</v>
      </c>
      <c r="C866" s="3">
        <v>10</v>
      </c>
      <c r="D866" t="s">
        <v>53</v>
      </c>
      <c r="E866">
        <v>536895</v>
      </c>
      <c r="F866" t="s">
        <v>1562</v>
      </c>
      <c r="G866" t="s">
        <v>1690</v>
      </c>
      <c r="H866" s="4">
        <v>45779</v>
      </c>
      <c r="I866" t="s">
        <v>1966</v>
      </c>
    </row>
    <row r="867" spans="1:9" x14ac:dyDescent="0.25">
      <c r="A867" t="s">
        <v>312</v>
      </c>
      <c r="B867" t="s">
        <v>304</v>
      </c>
      <c r="C867" s="3">
        <v>10</v>
      </c>
      <c r="D867" t="s">
        <v>53</v>
      </c>
      <c r="E867">
        <v>536896</v>
      </c>
      <c r="F867" t="s">
        <v>1562</v>
      </c>
      <c r="G867" t="s">
        <v>1690</v>
      </c>
      <c r="H867" s="4">
        <v>45779</v>
      </c>
      <c r="I867" t="s">
        <v>1966</v>
      </c>
    </row>
    <row r="868" spans="1:9" x14ac:dyDescent="0.25">
      <c r="A868" t="s">
        <v>311</v>
      </c>
      <c r="B868" t="s">
        <v>304</v>
      </c>
      <c r="C868" s="3">
        <v>20</v>
      </c>
      <c r="D868" t="s">
        <v>53</v>
      </c>
      <c r="E868">
        <v>536897</v>
      </c>
      <c r="F868" t="s">
        <v>1562</v>
      </c>
      <c r="G868" t="s">
        <v>1690</v>
      </c>
      <c r="H868" s="4">
        <v>45779</v>
      </c>
      <c r="I868" t="s">
        <v>1966</v>
      </c>
    </row>
    <row r="869" spans="1:9" x14ac:dyDescent="0.25">
      <c r="A869" t="s">
        <v>310</v>
      </c>
      <c r="B869" t="s">
        <v>304</v>
      </c>
      <c r="C869" s="3">
        <v>50</v>
      </c>
      <c r="D869" t="s">
        <v>53</v>
      </c>
      <c r="E869">
        <v>536898</v>
      </c>
      <c r="F869" t="s">
        <v>1562</v>
      </c>
      <c r="G869" t="s">
        <v>1690</v>
      </c>
      <c r="H869" s="4">
        <v>45779</v>
      </c>
      <c r="I869" t="s">
        <v>1966</v>
      </c>
    </row>
    <row r="870" spans="1:9" x14ac:dyDescent="0.25">
      <c r="A870" t="s">
        <v>309</v>
      </c>
      <c r="B870" t="s">
        <v>304</v>
      </c>
      <c r="C870" s="3">
        <v>25</v>
      </c>
      <c r="D870" t="s">
        <v>53</v>
      </c>
      <c r="E870">
        <v>536899</v>
      </c>
      <c r="F870" t="s">
        <v>1562</v>
      </c>
      <c r="G870" t="s">
        <v>1690</v>
      </c>
      <c r="H870" s="4">
        <v>45779</v>
      </c>
      <c r="I870" t="s">
        <v>1966</v>
      </c>
    </row>
    <row r="871" spans="1:9" x14ac:dyDescent="0.25">
      <c r="A871" t="s">
        <v>308</v>
      </c>
      <c r="B871" t="s">
        <v>304</v>
      </c>
      <c r="C871" s="3">
        <v>25</v>
      </c>
      <c r="D871" t="s">
        <v>53</v>
      </c>
      <c r="E871">
        <v>536900</v>
      </c>
      <c r="F871" t="s">
        <v>1562</v>
      </c>
      <c r="G871" t="s">
        <v>1690</v>
      </c>
      <c r="H871" s="4">
        <v>45779</v>
      </c>
      <c r="I871" t="s">
        <v>1966</v>
      </c>
    </row>
    <row r="872" spans="1:9" x14ac:dyDescent="0.25">
      <c r="A872" t="s">
        <v>652</v>
      </c>
      <c r="B872" t="s">
        <v>304</v>
      </c>
      <c r="C872" s="3">
        <v>100</v>
      </c>
      <c r="D872" t="s">
        <v>53</v>
      </c>
      <c r="E872">
        <v>539010</v>
      </c>
      <c r="F872" t="s">
        <v>1562</v>
      </c>
      <c r="G872" t="s">
        <v>1722</v>
      </c>
      <c r="H872" s="4">
        <v>45783</v>
      </c>
      <c r="I872" t="s">
        <v>1966</v>
      </c>
    </row>
    <row r="873" spans="1:9" x14ac:dyDescent="0.25">
      <c r="A873" t="s">
        <v>651</v>
      </c>
      <c r="B873" t="s">
        <v>304</v>
      </c>
      <c r="C873" s="3">
        <v>50</v>
      </c>
      <c r="D873" t="s">
        <v>53</v>
      </c>
      <c r="E873">
        <v>539011</v>
      </c>
      <c r="F873" t="s">
        <v>1562</v>
      </c>
      <c r="G873" t="s">
        <v>1721</v>
      </c>
      <c r="H873" s="4">
        <v>45783</v>
      </c>
      <c r="I873" t="s">
        <v>1966</v>
      </c>
    </row>
    <row r="874" spans="1:9" x14ac:dyDescent="0.25">
      <c r="A874" t="s">
        <v>650</v>
      </c>
      <c r="B874" t="s">
        <v>304</v>
      </c>
      <c r="C874" s="3">
        <v>150</v>
      </c>
      <c r="D874" t="s">
        <v>53</v>
      </c>
      <c r="E874">
        <v>539012</v>
      </c>
      <c r="F874" t="s">
        <v>1562</v>
      </c>
      <c r="G874" t="s">
        <v>1721</v>
      </c>
      <c r="H874" s="4">
        <v>45783</v>
      </c>
      <c r="I874" t="s">
        <v>1966</v>
      </c>
    </row>
    <row r="875" spans="1:9" x14ac:dyDescent="0.25">
      <c r="A875" t="s">
        <v>649</v>
      </c>
      <c r="B875" t="s">
        <v>304</v>
      </c>
      <c r="C875" s="3">
        <v>50</v>
      </c>
      <c r="D875" t="s">
        <v>53</v>
      </c>
      <c r="E875">
        <v>539013</v>
      </c>
      <c r="F875" t="s">
        <v>1562</v>
      </c>
      <c r="G875" t="s">
        <v>1721</v>
      </c>
      <c r="H875" s="4">
        <v>45783</v>
      </c>
      <c r="I875" t="s">
        <v>1966</v>
      </c>
    </row>
    <row r="876" spans="1:9" x14ac:dyDescent="0.25">
      <c r="A876" t="s">
        <v>624</v>
      </c>
      <c r="B876" t="s">
        <v>304</v>
      </c>
      <c r="C876" s="3">
        <v>65</v>
      </c>
      <c r="D876" t="s">
        <v>53</v>
      </c>
      <c r="E876">
        <v>539049</v>
      </c>
      <c r="F876" t="s">
        <v>1562</v>
      </c>
      <c r="G876" t="s">
        <v>1630</v>
      </c>
      <c r="H876" s="4">
        <v>45784</v>
      </c>
      <c r="I876" t="s">
        <v>1966</v>
      </c>
    </row>
    <row r="877" spans="1:9" x14ac:dyDescent="0.25">
      <c r="A877" t="s">
        <v>623</v>
      </c>
      <c r="B877" t="s">
        <v>304</v>
      </c>
      <c r="C877" s="3">
        <v>65</v>
      </c>
      <c r="D877" t="s">
        <v>53</v>
      </c>
      <c r="E877">
        <v>539050</v>
      </c>
      <c r="F877" t="s">
        <v>1562</v>
      </c>
      <c r="G877" t="s">
        <v>1630</v>
      </c>
      <c r="H877" s="4">
        <v>45784</v>
      </c>
      <c r="I877" t="s">
        <v>1966</v>
      </c>
    </row>
    <row r="878" spans="1:9" x14ac:dyDescent="0.25">
      <c r="A878" t="s">
        <v>622</v>
      </c>
      <c r="B878" t="s">
        <v>304</v>
      </c>
      <c r="C878" s="3">
        <v>65</v>
      </c>
      <c r="D878" t="s">
        <v>53</v>
      </c>
      <c r="E878">
        <v>539051</v>
      </c>
      <c r="F878" t="s">
        <v>1562</v>
      </c>
      <c r="G878" t="s">
        <v>1630</v>
      </c>
      <c r="H878" s="4">
        <v>45784</v>
      </c>
      <c r="I878" t="s">
        <v>1966</v>
      </c>
    </row>
    <row r="879" spans="1:9" x14ac:dyDescent="0.25">
      <c r="A879" t="s">
        <v>712</v>
      </c>
      <c r="B879" t="s">
        <v>304</v>
      </c>
      <c r="C879" s="3">
        <v>250</v>
      </c>
      <c r="D879" t="s">
        <v>53</v>
      </c>
      <c r="E879">
        <v>539020</v>
      </c>
      <c r="F879" t="s">
        <v>1562</v>
      </c>
      <c r="G879" t="s">
        <v>1724</v>
      </c>
      <c r="H879" s="4">
        <v>45784</v>
      </c>
      <c r="I879" t="s">
        <v>1966</v>
      </c>
    </row>
    <row r="880" spans="1:9" x14ac:dyDescent="0.25">
      <c r="A880" t="s">
        <v>711</v>
      </c>
      <c r="B880" t="s">
        <v>304</v>
      </c>
      <c r="C880" s="3">
        <v>500</v>
      </c>
      <c r="D880" t="s">
        <v>53</v>
      </c>
      <c r="E880">
        <v>539021</v>
      </c>
      <c r="F880" t="s">
        <v>1562</v>
      </c>
      <c r="G880" t="s">
        <v>1724</v>
      </c>
      <c r="H880" s="4">
        <v>45784</v>
      </c>
      <c r="I880" t="s">
        <v>1966</v>
      </c>
    </row>
    <row r="881" spans="1:9" x14ac:dyDescent="0.25">
      <c r="A881" t="s">
        <v>710</v>
      </c>
      <c r="B881" t="s">
        <v>304</v>
      </c>
      <c r="C881" s="3">
        <v>50</v>
      </c>
      <c r="D881" t="s">
        <v>53</v>
      </c>
      <c r="E881">
        <v>539022</v>
      </c>
      <c r="F881" t="s">
        <v>1562</v>
      </c>
      <c r="G881" t="s">
        <v>1713</v>
      </c>
      <c r="H881" s="4">
        <v>45784</v>
      </c>
      <c r="I881" t="s">
        <v>1966</v>
      </c>
    </row>
    <row r="882" spans="1:9" x14ac:dyDescent="0.25">
      <c r="A882" t="s">
        <v>709</v>
      </c>
      <c r="B882" t="s">
        <v>304</v>
      </c>
      <c r="C882" s="3">
        <v>25</v>
      </c>
      <c r="D882" t="s">
        <v>53</v>
      </c>
      <c r="E882">
        <v>539023</v>
      </c>
      <c r="F882" t="s">
        <v>1562</v>
      </c>
      <c r="G882" t="s">
        <v>1725</v>
      </c>
      <c r="H882" s="4">
        <v>45784</v>
      </c>
      <c r="I882" t="s">
        <v>1966</v>
      </c>
    </row>
    <row r="883" spans="1:9" x14ac:dyDescent="0.25">
      <c r="A883" t="s">
        <v>708</v>
      </c>
      <c r="B883" t="s">
        <v>304</v>
      </c>
      <c r="C883" s="3">
        <v>100</v>
      </c>
      <c r="D883" t="s">
        <v>53</v>
      </c>
      <c r="E883">
        <v>539024</v>
      </c>
      <c r="F883" t="s">
        <v>1562</v>
      </c>
      <c r="G883" t="s">
        <v>1726</v>
      </c>
      <c r="H883" s="4">
        <v>45784</v>
      </c>
      <c r="I883" t="s">
        <v>1966</v>
      </c>
    </row>
    <row r="884" spans="1:9" x14ac:dyDescent="0.25">
      <c r="A884" t="s">
        <v>707</v>
      </c>
      <c r="B884" t="s">
        <v>304</v>
      </c>
      <c r="C884" s="3">
        <v>100</v>
      </c>
      <c r="D884" t="s">
        <v>53</v>
      </c>
      <c r="E884">
        <v>539025</v>
      </c>
      <c r="F884" t="s">
        <v>1562</v>
      </c>
      <c r="G884" t="s">
        <v>1727</v>
      </c>
      <c r="H884" s="4">
        <v>45784</v>
      </c>
      <c r="I884" t="s">
        <v>1966</v>
      </c>
    </row>
    <row r="885" spans="1:9" x14ac:dyDescent="0.25">
      <c r="A885" t="s">
        <v>706</v>
      </c>
      <c r="B885" t="s">
        <v>304</v>
      </c>
      <c r="C885" s="3">
        <v>400</v>
      </c>
      <c r="D885" t="s">
        <v>53</v>
      </c>
      <c r="E885">
        <v>539026</v>
      </c>
      <c r="F885" t="s">
        <v>1562</v>
      </c>
      <c r="G885" t="s">
        <v>1727</v>
      </c>
      <c r="H885" s="4">
        <v>45784</v>
      </c>
      <c r="I885" t="s">
        <v>1966</v>
      </c>
    </row>
    <row r="886" spans="1:9" x14ac:dyDescent="0.25">
      <c r="A886" t="s">
        <v>705</v>
      </c>
      <c r="B886" t="s">
        <v>304</v>
      </c>
      <c r="C886" s="3">
        <v>25</v>
      </c>
      <c r="D886" t="s">
        <v>53</v>
      </c>
      <c r="E886">
        <v>539027</v>
      </c>
      <c r="F886" t="s">
        <v>1562</v>
      </c>
      <c r="G886" t="s">
        <v>1727</v>
      </c>
      <c r="H886" s="4">
        <v>45784</v>
      </c>
      <c r="I886" t="s">
        <v>1966</v>
      </c>
    </row>
    <row r="887" spans="1:9" x14ac:dyDescent="0.25">
      <c r="A887" t="s">
        <v>704</v>
      </c>
      <c r="B887" t="s">
        <v>304</v>
      </c>
      <c r="C887" s="3">
        <v>50</v>
      </c>
      <c r="D887" t="s">
        <v>53</v>
      </c>
      <c r="E887">
        <v>539028</v>
      </c>
      <c r="F887" t="s">
        <v>1562</v>
      </c>
      <c r="G887" t="s">
        <v>1727</v>
      </c>
      <c r="H887" s="4">
        <v>45784</v>
      </c>
      <c r="I887" t="s">
        <v>1966</v>
      </c>
    </row>
    <row r="888" spans="1:9" x14ac:dyDescent="0.25">
      <c r="A888" t="s">
        <v>703</v>
      </c>
      <c r="B888" t="s">
        <v>304</v>
      </c>
      <c r="C888" s="3">
        <v>100</v>
      </c>
      <c r="D888" t="s">
        <v>53</v>
      </c>
      <c r="E888">
        <v>539029</v>
      </c>
      <c r="F888" t="s">
        <v>1562</v>
      </c>
      <c r="G888" t="s">
        <v>1727</v>
      </c>
      <c r="H888" s="4">
        <v>45784</v>
      </c>
      <c r="I888" t="s">
        <v>1966</v>
      </c>
    </row>
    <row r="889" spans="1:9" x14ac:dyDescent="0.25">
      <c r="A889" t="s">
        <v>702</v>
      </c>
      <c r="B889" t="s">
        <v>304</v>
      </c>
      <c r="C889" s="3">
        <v>100</v>
      </c>
      <c r="D889" t="s">
        <v>53</v>
      </c>
      <c r="E889">
        <v>539030</v>
      </c>
      <c r="F889" t="s">
        <v>1562</v>
      </c>
      <c r="G889" t="s">
        <v>1693</v>
      </c>
      <c r="H889" s="4">
        <v>45784</v>
      </c>
      <c r="I889" t="s">
        <v>1966</v>
      </c>
    </row>
    <row r="890" spans="1:9" x14ac:dyDescent="0.25">
      <c r="A890" t="s">
        <v>701</v>
      </c>
      <c r="B890" t="s">
        <v>304</v>
      </c>
      <c r="C890" s="3">
        <v>50</v>
      </c>
      <c r="D890" t="s">
        <v>53</v>
      </c>
      <c r="E890">
        <v>539031</v>
      </c>
      <c r="F890" t="s">
        <v>1562</v>
      </c>
      <c r="G890" t="s">
        <v>1693</v>
      </c>
      <c r="H890" s="4">
        <v>45784</v>
      </c>
      <c r="I890" t="s">
        <v>1966</v>
      </c>
    </row>
    <row r="891" spans="1:9" x14ac:dyDescent="0.25">
      <c r="A891" t="s">
        <v>700</v>
      </c>
      <c r="B891" t="s">
        <v>304</v>
      </c>
      <c r="C891" s="3">
        <v>100</v>
      </c>
      <c r="D891" t="s">
        <v>53</v>
      </c>
      <c r="E891">
        <v>539032</v>
      </c>
      <c r="F891" t="s">
        <v>1562</v>
      </c>
      <c r="G891" t="s">
        <v>1727</v>
      </c>
      <c r="H891" s="4">
        <v>45784</v>
      </c>
      <c r="I891" t="s">
        <v>1966</v>
      </c>
    </row>
    <row r="892" spans="1:9" x14ac:dyDescent="0.25">
      <c r="A892" t="s">
        <v>699</v>
      </c>
      <c r="B892" t="s">
        <v>304</v>
      </c>
      <c r="C892" s="3">
        <v>50</v>
      </c>
      <c r="D892" t="s">
        <v>53</v>
      </c>
      <c r="E892">
        <v>539033</v>
      </c>
      <c r="F892" t="s">
        <v>1562</v>
      </c>
      <c r="G892" t="s">
        <v>1727</v>
      </c>
      <c r="H892" s="4">
        <v>45784</v>
      </c>
      <c r="I892" t="s">
        <v>1966</v>
      </c>
    </row>
    <row r="893" spans="1:9" x14ac:dyDescent="0.25">
      <c r="A893" t="s">
        <v>698</v>
      </c>
      <c r="B893" t="s">
        <v>304</v>
      </c>
      <c r="C893" s="3">
        <v>50</v>
      </c>
      <c r="D893" t="s">
        <v>53</v>
      </c>
      <c r="E893">
        <v>539034</v>
      </c>
      <c r="F893" t="s">
        <v>1562</v>
      </c>
      <c r="G893" t="s">
        <v>1727</v>
      </c>
      <c r="H893" s="4">
        <v>45784</v>
      </c>
      <c r="I893" t="s">
        <v>1966</v>
      </c>
    </row>
    <row r="894" spans="1:9" x14ac:dyDescent="0.25">
      <c r="A894" t="s">
        <v>697</v>
      </c>
      <c r="B894" t="s">
        <v>304</v>
      </c>
      <c r="C894" s="3">
        <v>50</v>
      </c>
      <c r="D894" t="s">
        <v>53</v>
      </c>
      <c r="E894">
        <v>539035</v>
      </c>
      <c r="F894" t="s">
        <v>1562</v>
      </c>
      <c r="G894" t="s">
        <v>1693</v>
      </c>
      <c r="H894" s="4">
        <v>45784</v>
      </c>
      <c r="I894" t="s">
        <v>1966</v>
      </c>
    </row>
    <row r="895" spans="1:9" x14ac:dyDescent="0.25">
      <c r="A895" t="s">
        <v>696</v>
      </c>
      <c r="B895" t="s">
        <v>304</v>
      </c>
      <c r="C895" s="3">
        <v>100</v>
      </c>
      <c r="D895" t="s">
        <v>53</v>
      </c>
      <c r="E895">
        <v>539036</v>
      </c>
      <c r="F895" t="s">
        <v>1562</v>
      </c>
      <c r="G895" t="s">
        <v>1728</v>
      </c>
      <c r="H895" s="4">
        <v>45784</v>
      </c>
      <c r="I895" t="s">
        <v>1966</v>
      </c>
    </row>
    <row r="896" spans="1:9" x14ac:dyDescent="0.25">
      <c r="A896" t="s">
        <v>695</v>
      </c>
      <c r="B896" t="s">
        <v>304</v>
      </c>
      <c r="C896" s="3">
        <v>50</v>
      </c>
      <c r="D896" t="s">
        <v>53</v>
      </c>
      <c r="E896">
        <v>539037</v>
      </c>
      <c r="F896" t="s">
        <v>1562</v>
      </c>
      <c r="G896" t="s">
        <v>1693</v>
      </c>
      <c r="H896" s="4">
        <v>45784</v>
      </c>
      <c r="I896" t="s">
        <v>1966</v>
      </c>
    </row>
    <row r="897" spans="1:9" x14ac:dyDescent="0.25">
      <c r="A897" t="s">
        <v>694</v>
      </c>
      <c r="B897" t="s">
        <v>304</v>
      </c>
      <c r="C897" s="3">
        <v>50</v>
      </c>
      <c r="D897" t="s">
        <v>53</v>
      </c>
      <c r="E897">
        <v>539038</v>
      </c>
      <c r="F897" t="s">
        <v>1562</v>
      </c>
      <c r="G897" t="s">
        <v>1728</v>
      </c>
      <c r="H897" s="4">
        <v>45784</v>
      </c>
      <c r="I897" t="s">
        <v>1966</v>
      </c>
    </row>
    <row r="898" spans="1:9" x14ac:dyDescent="0.25">
      <c r="A898" t="s">
        <v>693</v>
      </c>
      <c r="B898" t="s">
        <v>304</v>
      </c>
      <c r="C898" s="3">
        <v>100</v>
      </c>
      <c r="D898" t="s">
        <v>53</v>
      </c>
      <c r="E898">
        <v>539039</v>
      </c>
      <c r="F898" t="s">
        <v>1562</v>
      </c>
      <c r="G898" t="s">
        <v>1728</v>
      </c>
      <c r="H898" s="4">
        <v>45784</v>
      </c>
      <c r="I898" t="s">
        <v>1966</v>
      </c>
    </row>
    <row r="899" spans="1:9" x14ac:dyDescent="0.25">
      <c r="A899" t="s">
        <v>692</v>
      </c>
      <c r="B899" t="s">
        <v>304</v>
      </c>
      <c r="C899" s="3">
        <v>100</v>
      </c>
      <c r="D899" t="s">
        <v>53</v>
      </c>
      <c r="E899">
        <v>539040</v>
      </c>
      <c r="F899" t="s">
        <v>1562</v>
      </c>
      <c r="G899" t="s">
        <v>1727</v>
      </c>
      <c r="H899" s="4">
        <v>45784</v>
      </c>
      <c r="I899" t="s">
        <v>1966</v>
      </c>
    </row>
    <row r="900" spans="1:9" x14ac:dyDescent="0.25">
      <c r="A900" t="s">
        <v>685</v>
      </c>
      <c r="B900" t="s">
        <v>304</v>
      </c>
      <c r="C900" s="3">
        <v>50</v>
      </c>
      <c r="D900" t="s">
        <v>53</v>
      </c>
      <c r="E900">
        <v>539041</v>
      </c>
      <c r="F900" t="s">
        <v>1562</v>
      </c>
      <c r="G900" t="s">
        <v>1728</v>
      </c>
      <c r="H900" s="4">
        <v>45784</v>
      </c>
      <c r="I900" t="s">
        <v>1966</v>
      </c>
    </row>
    <row r="901" spans="1:9" x14ac:dyDescent="0.25">
      <c r="A901" t="s">
        <v>691</v>
      </c>
      <c r="B901" t="s">
        <v>304</v>
      </c>
      <c r="C901" s="3">
        <v>25</v>
      </c>
      <c r="D901" t="s">
        <v>53</v>
      </c>
      <c r="E901">
        <v>539042</v>
      </c>
      <c r="F901" t="s">
        <v>1562</v>
      </c>
      <c r="G901" t="s">
        <v>1691</v>
      </c>
      <c r="H901" s="4">
        <v>45784</v>
      </c>
      <c r="I901" t="s">
        <v>1966</v>
      </c>
    </row>
    <row r="902" spans="1:9" x14ac:dyDescent="0.25">
      <c r="A902" t="s">
        <v>690</v>
      </c>
      <c r="B902" t="s">
        <v>304</v>
      </c>
      <c r="C902" s="3">
        <v>50</v>
      </c>
      <c r="D902" t="s">
        <v>53</v>
      </c>
      <c r="E902">
        <v>539043</v>
      </c>
      <c r="F902" t="s">
        <v>1562</v>
      </c>
      <c r="G902" t="s">
        <v>1728</v>
      </c>
      <c r="H902" s="4">
        <v>45784</v>
      </c>
      <c r="I902" t="s">
        <v>1966</v>
      </c>
    </row>
    <row r="903" spans="1:9" x14ac:dyDescent="0.25">
      <c r="A903" t="s">
        <v>689</v>
      </c>
      <c r="B903" t="s">
        <v>304</v>
      </c>
      <c r="C903" s="3">
        <v>50</v>
      </c>
      <c r="D903" t="s">
        <v>53</v>
      </c>
      <c r="E903">
        <v>539044</v>
      </c>
      <c r="F903" t="s">
        <v>1562</v>
      </c>
      <c r="G903" t="s">
        <v>1713</v>
      </c>
      <c r="H903" s="4">
        <v>45784</v>
      </c>
      <c r="I903" t="s">
        <v>1966</v>
      </c>
    </row>
    <row r="904" spans="1:9" x14ac:dyDescent="0.25">
      <c r="A904" t="s">
        <v>688</v>
      </c>
      <c r="B904" t="s">
        <v>304</v>
      </c>
      <c r="C904" s="3">
        <v>50</v>
      </c>
      <c r="D904" t="s">
        <v>53</v>
      </c>
      <c r="E904">
        <v>539045</v>
      </c>
      <c r="F904" t="s">
        <v>1562</v>
      </c>
      <c r="G904" t="s">
        <v>1693</v>
      </c>
      <c r="H904" s="4">
        <v>45784</v>
      </c>
      <c r="I904" t="s">
        <v>1966</v>
      </c>
    </row>
    <row r="905" spans="1:9" x14ac:dyDescent="0.25">
      <c r="A905" t="s">
        <v>182</v>
      </c>
      <c r="B905" t="s">
        <v>304</v>
      </c>
      <c r="C905" s="3">
        <v>100</v>
      </c>
      <c r="D905" t="s">
        <v>53</v>
      </c>
      <c r="E905">
        <v>539046</v>
      </c>
      <c r="F905" t="s">
        <v>1562</v>
      </c>
      <c r="G905" t="s">
        <v>1728</v>
      </c>
      <c r="H905" s="4">
        <v>45784</v>
      </c>
      <c r="I905" t="s">
        <v>1966</v>
      </c>
    </row>
    <row r="906" spans="1:9" x14ac:dyDescent="0.25">
      <c r="A906" t="s">
        <v>687</v>
      </c>
      <c r="B906" t="s">
        <v>304</v>
      </c>
      <c r="C906" s="3">
        <v>195</v>
      </c>
      <c r="D906" t="s">
        <v>53</v>
      </c>
      <c r="E906">
        <v>539053</v>
      </c>
      <c r="F906" t="s">
        <v>1562</v>
      </c>
      <c r="G906" t="s">
        <v>1630</v>
      </c>
      <c r="H906" s="4">
        <v>45784</v>
      </c>
      <c r="I906" t="s">
        <v>1966</v>
      </c>
    </row>
    <row r="907" spans="1:9" x14ac:dyDescent="0.25">
      <c r="A907" t="s">
        <v>541</v>
      </c>
      <c r="B907" t="s">
        <v>304</v>
      </c>
      <c r="C907" s="3">
        <v>65</v>
      </c>
      <c r="D907" t="s">
        <v>53</v>
      </c>
      <c r="E907">
        <v>539054</v>
      </c>
      <c r="F907" t="s">
        <v>1562</v>
      </c>
      <c r="G907" t="s">
        <v>1630</v>
      </c>
      <c r="H907" s="4">
        <v>45784</v>
      </c>
      <c r="I907" t="s">
        <v>1966</v>
      </c>
    </row>
    <row r="908" spans="1:9" x14ac:dyDescent="0.25">
      <c r="A908" t="s">
        <v>686</v>
      </c>
      <c r="B908" t="s">
        <v>304</v>
      </c>
      <c r="C908" s="3">
        <v>130</v>
      </c>
      <c r="D908" t="s">
        <v>53</v>
      </c>
      <c r="E908">
        <v>539055</v>
      </c>
      <c r="F908" t="s">
        <v>1562</v>
      </c>
      <c r="G908" t="s">
        <v>1630</v>
      </c>
      <c r="H908" s="4">
        <v>45784</v>
      </c>
      <c r="I908" t="s">
        <v>1966</v>
      </c>
    </row>
    <row r="909" spans="1:9" x14ac:dyDescent="0.25">
      <c r="A909" t="s">
        <v>685</v>
      </c>
      <c r="B909" t="s">
        <v>304</v>
      </c>
      <c r="C909" s="3">
        <v>130</v>
      </c>
      <c r="D909" t="s">
        <v>53</v>
      </c>
      <c r="E909">
        <v>539056</v>
      </c>
      <c r="F909" t="s">
        <v>1562</v>
      </c>
      <c r="G909" t="s">
        <v>1630</v>
      </c>
      <c r="H909" s="4">
        <v>45785</v>
      </c>
      <c r="I909" t="s">
        <v>1966</v>
      </c>
    </row>
    <row r="910" spans="1:9" x14ac:dyDescent="0.25">
      <c r="A910" t="s">
        <v>684</v>
      </c>
      <c r="B910" t="s">
        <v>304</v>
      </c>
      <c r="C910" s="3">
        <v>65</v>
      </c>
      <c r="D910" t="s">
        <v>53</v>
      </c>
      <c r="E910">
        <v>539057</v>
      </c>
      <c r="F910" t="s">
        <v>1562</v>
      </c>
      <c r="G910" t="s">
        <v>1630</v>
      </c>
      <c r="H910" s="4">
        <v>45785</v>
      </c>
      <c r="I910" t="s">
        <v>1966</v>
      </c>
    </row>
    <row r="911" spans="1:9" x14ac:dyDescent="0.25">
      <c r="A911" t="s">
        <v>683</v>
      </c>
      <c r="B911" t="s">
        <v>304</v>
      </c>
      <c r="C911" s="3">
        <v>50</v>
      </c>
      <c r="D911" t="s">
        <v>53</v>
      </c>
      <c r="E911">
        <v>539058</v>
      </c>
      <c r="F911" t="s">
        <v>1562</v>
      </c>
      <c r="G911" t="s">
        <v>1726</v>
      </c>
      <c r="H911" s="4">
        <v>45785</v>
      </c>
      <c r="I911" t="s">
        <v>1966</v>
      </c>
    </row>
    <row r="912" spans="1:9" x14ac:dyDescent="0.25">
      <c r="A912" t="s">
        <v>682</v>
      </c>
      <c r="B912" t="s">
        <v>304</v>
      </c>
      <c r="C912" s="3">
        <v>100</v>
      </c>
      <c r="D912" t="s">
        <v>53</v>
      </c>
      <c r="E912">
        <v>539059</v>
      </c>
      <c r="F912" t="s">
        <v>1562</v>
      </c>
      <c r="G912" t="s">
        <v>1726</v>
      </c>
      <c r="H912" s="4">
        <v>45785</v>
      </c>
      <c r="I912" t="s">
        <v>1966</v>
      </c>
    </row>
    <row r="913" spans="1:9" x14ac:dyDescent="0.25">
      <c r="A913" t="s">
        <v>681</v>
      </c>
      <c r="B913" t="s">
        <v>304</v>
      </c>
      <c r="C913" s="3">
        <v>25</v>
      </c>
      <c r="D913" t="s">
        <v>53</v>
      </c>
      <c r="E913">
        <v>539060</v>
      </c>
      <c r="F913" t="s">
        <v>1562</v>
      </c>
      <c r="G913" t="s">
        <v>1726</v>
      </c>
      <c r="H913" s="4">
        <v>45785</v>
      </c>
      <c r="I913" t="s">
        <v>1966</v>
      </c>
    </row>
    <row r="914" spans="1:9" x14ac:dyDescent="0.25">
      <c r="A914" t="s">
        <v>680</v>
      </c>
      <c r="B914" t="s">
        <v>304</v>
      </c>
      <c r="C914" s="3">
        <v>25</v>
      </c>
      <c r="D914" t="s">
        <v>53</v>
      </c>
      <c r="E914">
        <v>539061</v>
      </c>
      <c r="F914" t="s">
        <v>1562</v>
      </c>
      <c r="G914" t="s">
        <v>1693</v>
      </c>
      <c r="H914" s="4">
        <v>45785</v>
      </c>
      <c r="I914" t="s">
        <v>1966</v>
      </c>
    </row>
    <row r="915" spans="1:9" x14ac:dyDescent="0.25">
      <c r="A915" t="s">
        <v>679</v>
      </c>
      <c r="B915" t="s">
        <v>304</v>
      </c>
      <c r="C915" s="3">
        <v>25</v>
      </c>
      <c r="D915" t="s">
        <v>53</v>
      </c>
      <c r="E915">
        <v>539062</v>
      </c>
      <c r="F915" t="s">
        <v>1562</v>
      </c>
      <c r="G915" t="s">
        <v>1727</v>
      </c>
      <c r="H915" s="4">
        <v>45785</v>
      </c>
      <c r="I915" t="s">
        <v>1966</v>
      </c>
    </row>
    <row r="916" spans="1:9" x14ac:dyDescent="0.25">
      <c r="A916" t="s">
        <v>678</v>
      </c>
      <c r="B916" t="s">
        <v>304</v>
      </c>
      <c r="C916" s="3">
        <v>100</v>
      </c>
      <c r="D916" t="s">
        <v>53</v>
      </c>
      <c r="E916">
        <v>539063</v>
      </c>
      <c r="F916" t="s">
        <v>1562</v>
      </c>
      <c r="G916" t="s">
        <v>1712</v>
      </c>
      <c r="H916" s="4">
        <v>45785</v>
      </c>
      <c r="I916" t="s">
        <v>1966</v>
      </c>
    </row>
    <row r="917" spans="1:9" x14ac:dyDescent="0.25">
      <c r="A917" t="s">
        <v>677</v>
      </c>
      <c r="B917" t="s">
        <v>304</v>
      </c>
      <c r="C917" s="3">
        <v>50</v>
      </c>
      <c r="D917" t="s">
        <v>53</v>
      </c>
      <c r="E917">
        <v>539064</v>
      </c>
      <c r="F917" t="s">
        <v>1562</v>
      </c>
      <c r="G917" t="s">
        <v>1724</v>
      </c>
      <c r="H917" s="4">
        <v>45785</v>
      </c>
      <c r="I917" t="s">
        <v>1966</v>
      </c>
    </row>
    <row r="918" spans="1:9" x14ac:dyDescent="0.25">
      <c r="A918" t="s">
        <v>676</v>
      </c>
      <c r="B918" t="s">
        <v>304</v>
      </c>
      <c r="C918" s="3">
        <v>25</v>
      </c>
      <c r="D918" t="s">
        <v>53</v>
      </c>
      <c r="E918">
        <v>539065</v>
      </c>
      <c r="F918" t="s">
        <v>1562</v>
      </c>
      <c r="G918" t="s">
        <v>1728</v>
      </c>
      <c r="H918" s="4">
        <v>45785</v>
      </c>
      <c r="I918" t="s">
        <v>1966</v>
      </c>
    </row>
    <row r="919" spans="1:9" x14ac:dyDescent="0.25">
      <c r="A919" t="s">
        <v>675</v>
      </c>
      <c r="B919" t="s">
        <v>304</v>
      </c>
      <c r="C919" s="3">
        <v>100</v>
      </c>
      <c r="D919" t="s">
        <v>53</v>
      </c>
      <c r="E919">
        <v>539066</v>
      </c>
      <c r="F919" t="s">
        <v>1562</v>
      </c>
      <c r="G919" t="s">
        <v>1728</v>
      </c>
      <c r="H919" s="4">
        <v>45785</v>
      </c>
      <c r="I919" t="s">
        <v>1966</v>
      </c>
    </row>
    <row r="920" spans="1:9" x14ac:dyDescent="0.25">
      <c r="A920" t="s">
        <v>674</v>
      </c>
      <c r="B920" t="s">
        <v>304</v>
      </c>
      <c r="C920" s="3">
        <v>50</v>
      </c>
      <c r="D920" t="s">
        <v>53</v>
      </c>
      <c r="E920">
        <v>539067</v>
      </c>
      <c r="F920" t="s">
        <v>1562</v>
      </c>
      <c r="G920" t="s">
        <v>1728</v>
      </c>
      <c r="H920" s="4">
        <v>45785</v>
      </c>
      <c r="I920" t="s">
        <v>1966</v>
      </c>
    </row>
    <row r="921" spans="1:9" x14ac:dyDescent="0.25">
      <c r="A921" t="s">
        <v>307</v>
      </c>
      <c r="B921" t="s">
        <v>304</v>
      </c>
      <c r="C921" s="3">
        <v>65</v>
      </c>
      <c r="D921" t="s">
        <v>53</v>
      </c>
      <c r="E921">
        <v>537053</v>
      </c>
      <c r="F921" t="s">
        <v>1562</v>
      </c>
      <c r="G921" t="s">
        <v>1729</v>
      </c>
      <c r="H921" s="4">
        <v>45785</v>
      </c>
      <c r="I921" t="s">
        <v>1966</v>
      </c>
    </row>
    <row r="922" spans="1:9" x14ac:dyDescent="0.25">
      <c r="A922" t="s">
        <v>673</v>
      </c>
      <c r="B922" t="s">
        <v>304</v>
      </c>
      <c r="C922" s="3">
        <v>25</v>
      </c>
      <c r="D922" t="s">
        <v>53</v>
      </c>
      <c r="E922">
        <v>539068</v>
      </c>
      <c r="F922" t="s">
        <v>1562</v>
      </c>
      <c r="G922" t="s">
        <v>1727</v>
      </c>
      <c r="H922" s="4">
        <v>45786</v>
      </c>
      <c r="I922" t="s">
        <v>1966</v>
      </c>
    </row>
    <row r="923" spans="1:9" x14ac:dyDescent="0.25">
      <c r="A923" t="s">
        <v>672</v>
      </c>
      <c r="B923" t="s">
        <v>304</v>
      </c>
      <c r="C923" s="3">
        <v>250</v>
      </c>
      <c r="D923" t="s">
        <v>53</v>
      </c>
      <c r="E923">
        <v>539069</v>
      </c>
      <c r="F923" t="s">
        <v>1562</v>
      </c>
      <c r="G923" t="s">
        <v>1727</v>
      </c>
      <c r="H923" s="4">
        <v>45786</v>
      </c>
      <c r="I923" t="s">
        <v>1966</v>
      </c>
    </row>
    <row r="924" spans="1:9" x14ac:dyDescent="0.25">
      <c r="A924" t="s">
        <v>671</v>
      </c>
      <c r="B924" t="s">
        <v>304</v>
      </c>
      <c r="C924" s="3">
        <v>75</v>
      </c>
      <c r="D924" t="s">
        <v>53</v>
      </c>
      <c r="E924">
        <v>539070</v>
      </c>
      <c r="F924" t="s">
        <v>1562</v>
      </c>
      <c r="G924" t="s">
        <v>1728</v>
      </c>
      <c r="H924" s="4">
        <v>45786</v>
      </c>
      <c r="I924" t="s">
        <v>1966</v>
      </c>
    </row>
    <row r="925" spans="1:9" x14ac:dyDescent="0.25">
      <c r="A925" t="s">
        <v>670</v>
      </c>
      <c r="B925" t="s">
        <v>304</v>
      </c>
      <c r="C925" s="3">
        <v>50</v>
      </c>
      <c r="D925" t="s">
        <v>53</v>
      </c>
      <c r="E925">
        <v>539071</v>
      </c>
      <c r="F925" t="s">
        <v>1562</v>
      </c>
      <c r="G925" t="s">
        <v>1728</v>
      </c>
      <c r="H925" s="4">
        <v>45786</v>
      </c>
      <c r="I925" t="s">
        <v>1966</v>
      </c>
    </row>
    <row r="926" spans="1:9" x14ac:dyDescent="0.25">
      <c r="A926" t="s">
        <v>669</v>
      </c>
      <c r="B926" t="s">
        <v>304</v>
      </c>
      <c r="C926" s="3">
        <v>25</v>
      </c>
      <c r="D926" t="s">
        <v>53</v>
      </c>
      <c r="E926">
        <v>539072</v>
      </c>
      <c r="F926" t="s">
        <v>1562</v>
      </c>
      <c r="G926" t="s">
        <v>1726</v>
      </c>
      <c r="H926" s="4">
        <v>45786</v>
      </c>
      <c r="I926" t="s">
        <v>1966</v>
      </c>
    </row>
    <row r="927" spans="1:9" x14ac:dyDescent="0.25">
      <c r="A927" t="s">
        <v>320</v>
      </c>
      <c r="B927" t="s">
        <v>304</v>
      </c>
      <c r="C927" s="3">
        <v>50</v>
      </c>
      <c r="D927" t="s">
        <v>8</v>
      </c>
      <c r="E927">
        <v>537209</v>
      </c>
      <c r="F927" t="s">
        <v>1562</v>
      </c>
      <c r="G927" t="s">
        <v>1713</v>
      </c>
      <c r="H927" s="4">
        <v>45787</v>
      </c>
      <c r="I927" t="s">
        <v>1966</v>
      </c>
    </row>
    <row r="928" spans="1:9" x14ac:dyDescent="0.25">
      <c r="A928" t="s">
        <v>344</v>
      </c>
      <c r="B928" t="s">
        <v>304</v>
      </c>
      <c r="C928" s="3">
        <v>130</v>
      </c>
      <c r="D928" t="s">
        <v>53</v>
      </c>
      <c r="E928">
        <v>537101</v>
      </c>
      <c r="F928" t="s">
        <v>1562</v>
      </c>
      <c r="H928" s="4">
        <v>45789</v>
      </c>
      <c r="I928" t="s">
        <v>1966</v>
      </c>
    </row>
    <row r="929" spans="1:9" x14ac:dyDescent="0.25">
      <c r="A929" t="s">
        <v>343</v>
      </c>
      <c r="B929" t="s">
        <v>304</v>
      </c>
      <c r="C929" s="3">
        <v>130</v>
      </c>
      <c r="D929" t="s">
        <v>53</v>
      </c>
      <c r="E929">
        <v>537102</v>
      </c>
      <c r="F929" t="s">
        <v>1562</v>
      </c>
      <c r="H929" s="4">
        <v>45789</v>
      </c>
      <c r="I929" t="s">
        <v>1966</v>
      </c>
    </row>
    <row r="930" spans="1:9" x14ac:dyDescent="0.25">
      <c r="A930" t="s">
        <v>342</v>
      </c>
      <c r="B930" t="s">
        <v>304</v>
      </c>
      <c r="C930" s="3">
        <v>130</v>
      </c>
      <c r="D930" t="s">
        <v>53</v>
      </c>
      <c r="E930">
        <v>537103</v>
      </c>
      <c r="F930" t="s">
        <v>1562</v>
      </c>
      <c r="H930" s="4">
        <v>45789</v>
      </c>
      <c r="I930" t="s">
        <v>1966</v>
      </c>
    </row>
    <row r="931" spans="1:9" x14ac:dyDescent="0.25">
      <c r="A931" t="s">
        <v>341</v>
      </c>
      <c r="B931" t="s">
        <v>304</v>
      </c>
      <c r="C931" s="3">
        <v>130</v>
      </c>
      <c r="D931" t="s">
        <v>53</v>
      </c>
      <c r="E931">
        <v>537104</v>
      </c>
      <c r="F931" t="s">
        <v>1562</v>
      </c>
      <c r="H931" s="4">
        <v>45789</v>
      </c>
      <c r="I931" t="s">
        <v>1966</v>
      </c>
    </row>
    <row r="932" spans="1:9" x14ac:dyDescent="0.25">
      <c r="A932" t="s">
        <v>340</v>
      </c>
      <c r="B932" t="s">
        <v>304</v>
      </c>
      <c r="C932" s="3">
        <v>65</v>
      </c>
      <c r="D932" t="s">
        <v>53</v>
      </c>
      <c r="E932">
        <v>537105</v>
      </c>
      <c r="F932" t="s">
        <v>1562</v>
      </c>
      <c r="H932" s="4">
        <v>45789</v>
      </c>
      <c r="I932" t="s">
        <v>1966</v>
      </c>
    </row>
    <row r="933" spans="1:9" x14ac:dyDescent="0.25">
      <c r="A933" t="s">
        <v>339</v>
      </c>
      <c r="B933" t="s">
        <v>304</v>
      </c>
      <c r="C933" s="3">
        <v>65</v>
      </c>
      <c r="D933" t="s">
        <v>53</v>
      </c>
      <c r="E933">
        <v>537106</v>
      </c>
      <c r="F933" t="s">
        <v>1562</v>
      </c>
      <c r="H933" s="4">
        <v>45789</v>
      </c>
      <c r="I933" t="s">
        <v>1966</v>
      </c>
    </row>
    <row r="934" spans="1:9" x14ac:dyDescent="0.25">
      <c r="A934" t="s">
        <v>338</v>
      </c>
      <c r="B934" t="s">
        <v>304</v>
      </c>
      <c r="C934" s="3">
        <v>65</v>
      </c>
      <c r="D934" t="s">
        <v>53</v>
      </c>
      <c r="E934">
        <v>537107</v>
      </c>
      <c r="F934" t="s">
        <v>1562</v>
      </c>
      <c r="H934" s="4">
        <v>45789</v>
      </c>
      <c r="I934" t="s">
        <v>1966</v>
      </c>
    </row>
    <row r="935" spans="1:9" x14ac:dyDescent="0.25">
      <c r="A935" t="s">
        <v>337</v>
      </c>
      <c r="B935" t="s">
        <v>304</v>
      </c>
      <c r="C935" s="3">
        <v>65</v>
      </c>
      <c r="D935" t="s">
        <v>53</v>
      </c>
      <c r="E935">
        <v>537108</v>
      </c>
      <c r="F935" t="s">
        <v>1562</v>
      </c>
      <c r="H935" s="4">
        <v>45789</v>
      </c>
      <c r="I935" t="s">
        <v>1966</v>
      </c>
    </row>
    <row r="936" spans="1:9" x14ac:dyDescent="0.25">
      <c r="A936" t="s">
        <v>336</v>
      </c>
      <c r="B936" t="s">
        <v>304</v>
      </c>
      <c r="C936" s="3">
        <v>65</v>
      </c>
      <c r="D936" t="s">
        <v>53</v>
      </c>
      <c r="E936">
        <v>537109</v>
      </c>
      <c r="F936" t="s">
        <v>1562</v>
      </c>
      <c r="H936" s="4">
        <v>45789</v>
      </c>
      <c r="I936" t="s">
        <v>1966</v>
      </c>
    </row>
    <row r="937" spans="1:9" x14ac:dyDescent="0.25">
      <c r="A937" t="s">
        <v>335</v>
      </c>
      <c r="B937" t="s">
        <v>304</v>
      </c>
      <c r="C937" s="3">
        <v>65</v>
      </c>
      <c r="D937" t="s">
        <v>53</v>
      </c>
      <c r="E937">
        <v>537110</v>
      </c>
      <c r="F937" t="s">
        <v>1562</v>
      </c>
      <c r="H937" s="4">
        <v>45789</v>
      </c>
      <c r="I937" t="s">
        <v>1966</v>
      </c>
    </row>
    <row r="938" spans="1:9" x14ac:dyDescent="0.25">
      <c r="A938" t="s">
        <v>334</v>
      </c>
      <c r="B938" t="s">
        <v>304</v>
      </c>
      <c r="C938" s="3">
        <v>65</v>
      </c>
      <c r="D938" t="s">
        <v>53</v>
      </c>
      <c r="E938">
        <v>537111</v>
      </c>
      <c r="F938" t="s">
        <v>1562</v>
      </c>
      <c r="H938" s="4">
        <v>45789</v>
      </c>
      <c r="I938" t="s">
        <v>1966</v>
      </c>
    </row>
    <row r="939" spans="1:9" x14ac:dyDescent="0.25">
      <c r="A939" t="s">
        <v>333</v>
      </c>
      <c r="B939" t="s">
        <v>304</v>
      </c>
      <c r="C939" s="3">
        <v>130</v>
      </c>
      <c r="D939" t="s">
        <v>53</v>
      </c>
      <c r="E939">
        <v>537112</v>
      </c>
      <c r="F939" t="s">
        <v>1562</v>
      </c>
      <c r="H939" s="4">
        <v>45789</v>
      </c>
      <c r="I939" t="s">
        <v>1966</v>
      </c>
    </row>
    <row r="940" spans="1:9" x14ac:dyDescent="0.25">
      <c r="A940" t="s">
        <v>332</v>
      </c>
      <c r="B940" t="s">
        <v>304</v>
      </c>
      <c r="C940" s="3">
        <v>65</v>
      </c>
      <c r="D940" t="s">
        <v>53</v>
      </c>
      <c r="E940">
        <v>537113</v>
      </c>
      <c r="F940" t="s">
        <v>1562</v>
      </c>
      <c r="H940" s="4">
        <v>45789</v>
      </c>
      <c r="I940" t="s">
        <v>1966</v>
      </c>
    </row>
    <row r="941" spans="1:9" x14ac:dyDescent="0.25">
      <c r="A941" t="s">
        <v>331</v>
      </c>
      <c r="B941" t="s">
        <v>304</v>
      </c>
      <c r="C941" s="3">
        <v>65</v>
      </c>
      <c r="D941" t="s">
        <v>53</v>
      </c>
      <c r="E941">
        <v>537114</v>
      </c>
      <c r="F941" t="s">
        <v>1562</v>
      </c>
      <c r="H941" s="4">
        <v>45789</v>
      </c>
      <c r="I941" t="s">
        <v>1966</v>
      </c>
    </row>
    <row r="942" spans="1:9" x14ac:dyDescent="0.25">
      <c r="A942" t="s">
        <v>330</v>
      </c>
      <c r="B942" t="s">
        <v>304</v>
      </c>
      <c r="C942" s="3">
        <v>65</v>
      </c>
      <c r="D942" t="s">
        <v>53</v>
      </c>
      <c r="E942">
        <v>537115</v>
      </c>
      <c r="F942" t="s">
        <v>1562</v>
      </c>
      <c r="H942" s="4">
        <v>45789</v>
      </c>
      <c r="I942" t="s">
        <v>1966</v>
      </c>
    </row>
    <row r="943" spans="1:9" x14ac:dyDescent="0.25">
      <c r="A943" t="s">
        <v>329</v>
      </c>
      <c r="B943" t="s">
        <v>304</v>
      </c>
      <c r="C943" s="3">
        <v>65</v>
      </c>
      <c r="D943" t="s">
        <v>53</v>
      </c>
      <c r="E943">
        <v>537116</v>
      </c>
      <c r="F943" t="s">
        <v>1562</v>
      </c>
      <c r="H943" s="4">
        <v>45789</v>
      </c>
      <c r="I943" t="s">
        <v>1966</v>
      </c>
    </row>
    <row r="944" spans="1:9" x14ac:dyDescent="0.25">
      <c r="A944" t="s">
        <v>328</v>
      </c>
      <c r="B944" t="s">
        <v>304</v>
      </c>
      <c r="C944" s="3">
        <v>65</v>
      </c>
      <c r="D944" t="s">
        <v>53</v>
      </c>
      <c r="E944">
        <v>537117</v>
      </c>
      <c r="F944" t="s">
        <v>1562</v>
      </c>
      <c r="H944" s="4">
        <v>45789</v>
      </c>
      <c r="I944" t="s">
        <v>1966</v>
      </c>
    </row>
    <row r="945" spans="1:9" x14ac:dyDescent="0.25">
      <c r="A945" t="s">
        <v>327</v>
      </c>
      <c r="B945" t="s">
        <v>304</v>
      </c>
      <c r="C945" s="3">
        <v>65</v>
      </c>
      <c r="D945" t="s">
        <v>53</v>
      </c>
      <c r="E945">
        <v>537118</v>
      </c>
      <c r="F945" t="s">
        <v>1562</v>
      </c>
      <c r="H945" s="4">
        <v>45789</v>
      </c>
      <c r="I945" t="s">
        <v>1966</v>
      </c>
    </row>
    <row r="946" spans="1:9" x14ac:dyDescent="0.25">
      <c r="A946" t="s">
        <v>326</v>
      </c>
      <c r="B946" t="s">
        <v>304</v>
      </c>
      <c r="C946" s="3">
        <v>65</v>
      </c>
      <c r="D946" t="s">
        <v>53</v>
      </c>
      <c r="E946">
        <v>537119</v>
      </c>
      <c r="F946" t="s">
        <v>1562</v>
      </c>
      <c r="H946" s="4">
        <v>45789</v>
      </c>
      <c r="I946" t="s">
        <v>1966</v>
      </c>
    </row>
    <row r="947" spans="1:9" x14ac:dyDescent="0.25">
      <c r="A947" t="s">
        <v>325</v>
      </c>
      <c r="B947" t="s">
        <v>304</v>
      </c>
      <c r="C947" s="3">
        <v>65</v>
      </c>
      <c r="D947" t="s">
        <v>53</v>
      </c>
      <c r="E947">
        <v>537120</v>
      </c>
      <c r="F947" t="s">
        <v>1562</v>
      </c>
      <c r="H947" s="4">
        <v>45789</v>
      </c>
      <c r="I947" t="s">
        <v>1966</v>
      </c>
    </row>
    <row r="948" spans="1:9" x14ac:dyDescent="0.25">
      <c r="A948" t="s">
        <v>315</v>
      </c>
      <c r="B948" t="s">
        <v>304</v>
      </c>
      <c r="C948" s="3">
        <v>65</v>
      </c>
      <c r="D948" t="s">
        <v>53</v>
      </c>
      <c r="E948">
        <v>537121</v>
      </c>
      <c r="F948" t="s">
        <v>1562</v>
      </c>
      <c r="H948" s="4">
        <v>45789</v>
      </c>
      <c r="I948" t="s">
        <v>1966</v>
      </c>
    </row>
    <row r="949" spans="1:9" x14ac:dyDescent="0.25">
      <c r="A949" t="s">
        <v>324</v>
      </c>
      <c r="B949" t="s">
        <v>304</v>
      </c>
      <c r="C949" s="3">
        <v>65</v>
      </c>
      <c r="D949" t="s">
        <v>53</v>
      </c>
      <c r="E949">
        <v>537122</v>
      </c>
      <c r="F949" t="s">
        <v>1562</v>
      </c>
      <c r="H949" s="4">
        <v>45789</v>
      </c>
      <c r="I949" t="s">
        <v>1966</v>
      </c>
    </row>
    <row r="950" spans="1:9" x14ac:dyDescent="0.25">
      <c r="A950" t="s">
        <v>323</v>
      </c>
      <c r="B950" t="s">
        <v>304</v>
      </c>
      <c r="C950" s="3">
        <v>65</v>
      </c>
      <c r="D950" t="s">
        <v>53</v>
      </c>
      <c r="E950">
        <v>537123</v>
      </c>
      <c r="F950" t="s">
        <v>1562</v>
      </c>
      <c r="H950" s="4">
        <v>45789</v>
      </c>
      <c r="I950" t="s">
        <v>1966</v>
      </c>
    </row>
    <row r="951" spans="1:9" x14ac:dyDescent="0.25">
      <c r="A951" t="s">
        <v>317</v>
      </c>
      <c r="B951" t="s">
        <v>304</v>
      </c>
      <c r="C951" s="3">
        <v>555.70000000000005</v>
      </c>
      <c r="D951" t="s">
        <v>53</v>
      </c>
      <c r="E951">
        <v>537124</v>
      </c>
      <c r="F951" t="s">
        <v>1562</v>
      </c>
      <c r="H951" s="4">
        <v>45789</v>
      </c>
      <c r="I951" t="s">
        <v>1966</v>
      </c>
    </row>
    <row r="952" spans="1:9" x14ac:dyDescent="0.25">
      <c r="A952" t="s">
        <v>621</v>
      </c>
      <c r="B952" t="s">
        <v>304</v>
      </c>
      <c r="C952" s="3">
        <v>50</v>
      </c>
      <c r="D952" t="s">
        <v>53</v>
      </c>
      <c r="E952">
        <v>539079</v>
      </c>
      <c r="F952" t="s">
        <v>1562</v>
      </c>
      <c r="G952" t="s">
        <v>1727</v>
      </c>
      <c r="H952" s="4">
        <v>45789</v>
      </c>
      <c r="I952" t="s">
        <v>1966</v>
      </c>
    </row>
    <row r="953" spans="1:9" x14ac:dyDescent="0.25">
      <c r="A953" t="s">
        <v>620</v>
      </c>
      <c r="B953" t="s">
        <v>304</v>
      </c>
      <c r="C953" s="3">
        <v>50</v>
      </c>
      <c r="D953" t="s">
        <v>53</v>
      </c>
      <c r="E953">
        <v>539080</v>
      </c>
      <c r="F953" t="s">
        <v>1562</v>
      </c>
      <c r="G953" t="s">
        <v>1728</v>
      </c>
      <c r="H953" s="4">
        <v>45789</v>
      </c>
      <c r="I953" t="s">
        <v>1966</v>
      </c>
    </row>
    <row r="954" spans="1:9" x14ac:dyDescent="0.25">
      <c r="A954" t="s">
        <v>619</v>
      </c>
      <c r="B954" t="s">
        <v>304</v>
      </c>
      <c r="C954" s="3">
        <v>100</v>
      </c>
      <c r="D954" t="s">
        <v>53</v>
      </c>
      <c r="E954">
        <v>539081</v>
      </c>
      <c r="F954" t="s">
        <v>1562</v>
      </c>
      <c r="G954" t="s">
        <v>1727</v>
      </c>
      <c r="H954" s="4">
        <v>45789</v>
      </c>
      <c r="I954" t="s">
        <v>1966</v>
      </c>
    </row>
    <row r="955" spans="1:9" x14ac:dyDescent="0.25">
      <c r="A955" t="s">
        <v>618</v>
      </c>
      <c r="B955" t="s">
        <v>304</v>
      </c>
      <c r="C955" s="3">
        <v>50</v>
      </c>
      <c r="D955" t="s">
        <v>53</v>
      </c>
      <c r="E955">
        <v>539082</v>
      </c>
      <c r="F955" t="s">
        <v>1562</v>
      </c>
      <c r="G955" t="s">
        <v>1728</v>
      </c>
      <c r="H955" s="4">
        <v>45789</v>
      </c>
      <c r="I955" t="s">
        <v>1966</v>
      </c>
    </row>
    <row r="956" spans="1:9" x14ac:dyDescent="0.25">
      <c r="A956" t="s">
        <v>617</v>
      </c>
      <c r="B956" t="s">
        <v>304</v>
      </c>
      <c r="C956" s="3">
        <v>30</v>
      </c>
      <c r="D956" t="s">
        <v>53</v>
      </c>
      <c r="E956">
        <v>539083</v>
      </c>
      <c r="F956" t="s">
        <v>1562</v>
      </c>
      <c r="G956" t="s">
        <v>1693</v>
      </c>
      <c r="H956" s="4">
        <v>45789</v>
      </c>
      <c r="I956" t="s">
        <v>1966</v>
      </c>
    </row>
    <row r="957" spans="1:9" x14ac:dyDescent="0.25">
      <c r="A957" t="s">
        <v>616</v>
      </c>
      <c r="B957" t="s">
        <v>304</v>
      </c>
      <c r="C957" s="3">
        <v>50</v>
      </c>
      <c r="D957" t="s">
        <v>53</v>
      </c>
      <c r="E957">
        <v>539084</v>
      </c>
      <c r="F957" t="s">
        <v>1562</v>
      </c>
      <c r="G957" t="s">
        <v>1713</v>
      </c>
      <c r="H957" s="4">
        <v>45789</v>
      </c>
      <c r="I957" t="s">
        <v>1966</v>
      </c>
    </row>
    <row r="958" spans="1:9" x14ac:dyDescent="0.25">
      <c r="A958" t="s">
        <v>615</v>
      </c>
      <c r="B958" t="s">
        <v>304</v>
      </c>
      <c r="C958" s="3">
        <v>50</v>
      </c>
      <c r="D958" t="s">
        <v>53</v>
      </c>
      <c r="E958">
        <v>539085</v>
      </c>
      <c r="F958" t="s">
        <v>1562</v>
      </c>
      <c r="G958" t="s">
        <v>1727</v>
      </c>
      <c r="H958" s="4">
        <v>45789</v>
      </c>
      <c r="I958" t="s">
        <v>1966</v>
      </c>
    </row>
    <row r="959" spans="1:9" x14ac:dyDescent="0.25">
      <c r="A959" t="s">
        <v>614</v>
      </c>
      <c r="B959" t="s">
        <v>304</v>
      </c>
      <c r="C959" s="3">
        <v>25</v>
      </c>
      <c r="D959" t="s">
        <v>53</v>
      </c>
      <c r="E959">
        <v>539086</v>
      </c>
      <c r="F959" t="s">
        <v>1562</v>
      </c>
      <c r="G959" t="s">
        <v>1693</v>
      </c>
      <c r="H959" s="4">
        <v>45789</v>
      </c>
      <c r="I959" t="s">
        <v>1966</v>
      </c>
    </row>
    <row r="960" spans="1:9" x14ac:dyDescent="0.25">
      <c r="A960" t="s">
        <v>613</v>
      </c>
      <c r="B960" t="s">
        <v>304</v>
      </c>
      <c r="C960" s="3">
        <v>65</v>
      </c>
      <c r="D960" t="s">
        <v>53</v>
      </c>
      <c r="E960">
        <v>539087</v>
      </c>
      <c r="F960" t="s">
        <v>1562</v>
      </c>
      <c r="G960" t="s">
        <v>1630</v>
      </c>
      <c r="H960" s="4">
        <v>45789</v>
      </c>
      <c r="I960" t="s">
        <v>1966</v>
      </c>
    </row>
    <row r="961" spans="1:9" x14ac:dyDescent="0.25">
      <c r="A961" t="s">
        <v>612</v>
      </c>
      <c r="B961" t="s">
        <v>304</v>
      </c>
      <c r="C961" s="3">
        <v>200</v>
      </c>
      <c r="D961" t="s">
        <v>53</v>
      </c>
      <c r="E961">
        <v>539088</v>
      </c>
      <c r="F961" t="s">
        <v>1562</v>
      </c>
      <c r="G961" t="s">
        <v>1713</v>
      </c>
      <c r="H961" s="4">
        <v>45790</v>
      </c>
      <c r="I961" t="s">
        <v>1966</v>
      </c>
    </row>
    <row r="962" spans="1:9" x14ac:dyDescent="0.25">
      <c r="A962" t="s">
        <v>611</v>
      </c>
      <c r="B962" t="s">
        <v>304</v>
      </c>
      <c r="C962" s="3">
        <v>50</v>
      </c>
      <c r="D962" t="s">
        <v>53</v>
      </c>
      <c r="E962">
        <v>539089</v>
      </c>
      <c r="F962" t="s">
        <v>1562</v>
      </c>
      <c r="G962" t="s">
        <v>1724</v>
      </c>
      <c r="H962" s="4">
        <v>45790</v>
      </c>
      <c r="I962" t="s">
        <v>1966</v>
      </c>
    </row>
    <row r="963" spans="1:9" x14ac:dyDescent="0.25">
      <c r="A963" t="s">
        <v>610</v>
      </c>
      <c r="B963" t="s">
        <v>304</v>
      </c>
      <c r="C963" s="3">
        <v>50</v>
      </c>
      <c r="D963" t="s">
        <v>53</v>
      </c>
      <c r="E963">
        <v>539090</v>
      </c>
      <c r="F963" t="s">
        <v>1562</v>
      </c>
      <c r="G963" t="s">
        <v>1728</v>
      </c>
      <c r="H963" s="4">
        <v>45790</v>
      </c>
      <c r="I963" t="s">
        <v>1966</v>
      </c>
    </row>
    <row r="964" spans="1:9" x14ac:dyDescent="0.25">
      <c r="A964" t="s">
        <v>609</v>
      </c>
      <c r="B964" t="s">
        <v>304</v>
      </c>
      <c r="C964" s="3">
        <v>200</v>
      </c>
      <c r="D964" t="s">
        <v>53</v>
      </c>
      <c r="E964">
        <v>539091</v>
      </c>
      <c r="F964" t="s">
        <v>1562</v>
      </c>
      <c r="G964" t="s">
        <v>1728</v>
      </c>
      <c r="H964" s="4">
        <v>45790</v>
      </c>
      <c r="I964" t="s">
        <v>1966</v>
      </c>
    </row>
    <row r="965" spans="1:9" x14ac:dyDescent="0.25">
      <c r="A965" t="s">
        <v>608</v>
      </c>
      <c r="B965" t="s">
        <v>304</v>
      </c>
      <c r="C965" s="3">
        <v>250</v>
      </c>
      <c r="D965" t="s">
        <v>53</v>
      </c>
      <c r="E965">
        <v>539092</v>
      </c>
      <c r="F965" t="s">
        <v>1562</v>
      </c>
      <c r="G965" t="s">
        <v>1713</v>
      </c>
      <c r="H965" s="4">
        <v>45790</v>
      </c>
      <c r="I965" t="s">
        <v>1966</v>
      </c>
    </row>
    <row r="966" spans="1:9" x14ac:dyDescent="0.25">
      <c r="A966" t="s">
        <v>640</v>
      </c>
      <c r="B966" t="s">
        <v>304</v>
      </c>
      <c r="C966" s="3">
        <v>50</v>
      </c>
      <c r="D966" t="s">
        <v>53</v>
      </c>
      <c r="E966">
        <v>539145</v>
      </c>
      <c r="F966" t="s">
        <v>1562</v>
      </c>
      <c r="G966" t="s">
        <v>1724</v>
      </c>
      <c r="H966" s="4">
        <v>45791</v>
      </c>
      <c r="I966" t="s">
        <v>1966</v>
      </c>
    </row>
    <row r="967" spans="1:9" x14ac:dyDescent="0.25">
      <c r="A967" t="s">
        <v>43</v>
      </c>
      <c r="B967" t="s">
        <v>304</v>
      </c>
      <c r="C967" s="3">
        <v>50</v>
      </c>
      <c r="D967" t="s">
        <v>53</v>
      </c>
      <c r="E967">
        <v>539146</v>
      </c>
      <c r="F967" t="s">
        <v>1562</v>
      </c>
      <c r="G967" t="s">
        <v>1728</v>
      </c>
      <c r="H967" s="4">
        <v>45791</v>
      </c>
      <c r="I967" t="s">
        <v>1966</v>
      </c>
    </row>
    <row r="968" spans="1:9" x14ac:dyDescent="0.25">
      <c r="A968" t="s">
        <v>639</v>
      </c>
      <c r="B968" t="s">
        <v>304</v>
      </c>
      <c r="C968" s="3">
        <v>250</v>
      </c>
      <c r="D968" t="s">
        <v>53</v>
      </c>
      <c r="E968">
        <v>539147</v>
      </c>
      <c r="F968" t="s">
        <v>1562</v>
      </c>
      <c r="G968" t="s">
        <v>1728</v>
      </c>
      <c r="H968" s="4">
        <v>45791</v>
      </c>
      <c r="I968" t="s">
        <v>1966</v>
      </c>
    </row>
    <row r="969" spans="1:9" x14ac:dyDescent="0.25">
      <c r="A969" t="s">
        <v>638</v>
      </c>
      <c r="B969" t="s">
        <v>304</v>
      </c>
      <c r="C969" s="3">
        <v>150</v>
      </c>
      <c r="D969" t="s">
        <v>53</v>
      </c>
      <c r="E969">
        <v>539148</v>
      </c>
      <c r="F969" t="s">
        <v>1562</v>
      </c>
      <c r="G969" t="s">
        <v>1690</v>
      </c>
      <c r="H969" s="4">
        <v>45791</v>
      </c>
      <c r="I969" t="s">
        <v>1966</v>
      </c>
    </row>
    <row r="970" spans="1:9" x14ac:dyDescent="0.25">
      <c r="A970" t="s">
        <v>490</v>
      </c>
      <c r="B970" t="s">
        <v>304</v>
      </c>
      <c r="C970" s="3">
        <v>50</v>
      </c>
      <c r="D970" t="s">
        <v>53</v>
      </c>
      <c r="E970">
        <v>539149</v>
      </c>
      <c r="F970" t="s">
        <v>1562</v>
      </c>
      <c r="G970" t="s">
        <v>1724</v>
      </c>
      <c r="H970" s="4">
        <v>45791</v>
      </c>
      <c r="I970" t="s">
        <v>1966</v>
      </c>
    </row>
    <row r="971" spans="1:9" x14ac:dyDescent="0.25">
      <c r="A971" t="s">
        <v>637</v>
      </c>
      <c r="B971" t="s">
        <v>304</v>
      </c>
      <c r="C971" s="3">
        <v>65</v>
      </c>
      <c r="D971" t="s">
        <v>53</v>
      </c>
      <c r="E971">
        <v>539138</v>
      </c>
      <c r="F971" t="s">
        <v>1562</v>
      </c>
      <c r="G971" t="s">
        <v>1630</v>
      </c>
      <c r="H971" s="4">
        <v>45791</v>
      </c>
      <c r="I971" t="s">
        <v>1966</v>
      </c>
    </row>
    <row r="972" spans="1:9" x14ac:dyDescent="0.25">
      <c r="A972" t="s">
        <v>636</v>
      </c>
      <c r="B972" t="s">
        <v>304</v>
      </c>
      <c r="C972" s="3">
        <v>65</v>
      </c>
      <c r="D972" t="s">
        <v>53</v>
      </c>
      <c r="E972">
        <v>539139</v>
      </c>
      <c r="F972" t="s">
        <v>1562</v>
      </c>
      <c r="G972" t="s">
        <v>1628</v>
      </c>
      <c r="H972" s="4">
        <v>45791</v>
      </c>
      <c r="I972" t="s">
        <v>1966</v>
      </c>
    </row>
    <row r="973" spans="1:9" x14ac:dyDescent="0.25">
      <c r="A973" t="s">
        <v>635</v>
      </c>
      <c r="B973" t="s">
        <v>304</v>
      </c>
      <c r="C973" s="3">
        <v>25</v>
      </c>
      <c r="D973" t="s">
        <v>53</v>
      </c>
      <c r="E973">
        <v>539140</v>
      </c>
      <c r="F973" t="s">
        <v>1562</v>
      </c>
      <c r="G973" t="s">
        <v>1727</v>
      </c>
      <c r="H973" s="4">
        <v>45791</v>
      </c>
      <c r="I973" t="s">
        <v>1966</v>
      </c>
    </row>
    <row r="974" spans="1:9" x14ac:dyDescent="0.25">
      <c r="A974" t="s">
        <v>634</v>
      </c>
      <c r="B974" t="s">
        <v>304</v>
      </c>
      <c r="C974" s="3">
        <v>250</v>
      </c>
      <c r="D974" t="s">
        <v>53</v>
      </c>
      <c r="E974">
        <v>539141</v>
      </c>
      <c r="F974" t="s">
        <v>1562</v>
      </c>
      <c r="G974" t="s">
        <v>1724</v>
      </c>
      <c r="H974" s="4">
        <v>45791</v>
      </c>
      <c r="I974" t="s">
        <v>1966</v>
      </c>
    </row>
    <row r="975" spans="1:9" x14ac:dyDescent="0.25">
      <c r="A975" t="s">
        <v>30</v>
      </c>
      <c r="B975" t="s">
        <v>304</v>
      </c>
      <c r="C975" s="3">
        <v>50</v>
      </c>
      <c r="D975" t="s">
        <v>53</v>
      </c>
      <c r="E975">
        <v>539142</v>
      </c>
      <c r="F975" t="s">
        <v>1562</v>
      </c>
      <c r="G975" t="s">
        <v>1728</v>
      </c>
      <c r="H975" s="4">
        <v>45791</v>
      </c>
      <c r="I975" t="s">
        <v>1966</v>
      </c>
    </row>
    <row r="976" spans="1:9" x14ac:dyDescent="0.25">
      <c r="A976" t="s">
        <v>633</v>
      </c>
      <c r="B976" t="s">
        <v>304</v>
      </c>
      <c r="C976" s="3">
        <v>50</v>
      </c>
      <c r="D976" t="s">
        <v>53</v>
      </c>
      <c r="E976">
        <v>539143</v>
      </c>
      <c r="F976" t="s">
        <v>1562</v>
      </c>
      <c r="G976" t="s">
        <v>1690</v>
      </c>
      <c r="H976" s="4">
        <v>45791</v>
      </c>
      <c r="I976" t="s">
        <v>1966</v>
      </c>
    </row>
    <row r="977" spans="1:9" x14ac:dyDescent="0.25">
      <c r="A977" t="s">
        <v>632</v>
      </c>
      <c r="B977" t="s">
        <v>304</v>
      </c>
      <c r="C977" s="3">
        <v>25</v>
      </c>
      <c r="D977" t="s">
        <v>53</v>
      </c>
      <c r="E977">
        <v>539133</v>
      </c>
      <c r="F977" t="s">
        <v>1562</v>
      </c>
      <c r="G977" t="s">
        <v>1726</v>
      </c>
      <c r="H977" s="4">
        <v>45791</v>
      </c>
      <c r="I977" t="s">
        <v>1966</v>
      </c>
    </row>
    <row r="978" spans="1:9" x14ac:dyDescent="0.25">
      <c r="A978" t="s">
        <v>631</v>
      </c>
      <c r="B978" t="s">
        <v>304</v>
      </c>
      <c r="C978" s="3">
        <v>200</v>
      </c>
      <c r="D978" t="s">
        <v>53</v>
      </c>
      <c r="E978">
        <v>539134</v>
      </c>
      <c r="F978" t="s">
        <v>1562</v>
      </c>
      <c r="G978" t="s">
        <v>1726</v>
      </c>
      <c r="H978" s="4">
        <v>45791</v>
      </c>
      <c r="I978" t="s">
        <v>1966</v>
      </c>
    </row>
    <row r="979" spans="1:9" x14ac:dyDescent="0.25">
      <c r="A979" t="s">
        <v>481</v>
      </c>
      <c r="B979" t="s">
        <v>304</v>
      </c>
      <c r="C979" s="3">
        <v>65</v>
      </c>
      <c r="D979" t="s">
        <v>53</v>
      </c>
      <c r="E979">
        <v>539154</v>
      </c>
      <c r="F979" t="s">
        <v>1562</v>
      </c>
      <c r="H979" s="4">
        <v>45791</v>
      </c>
      <c r="I979" t="s">
        <v>1966</v>
      </c>
    </row>
    <row r="980" spans="1:9" x14ac:dyDescent="0.25">
      <c r="A980" t="s">
        <v>607</v>
      </c>
      <c r="B980" t="s">
        <v>304</v>
      </c>
      <c r="C980" s="3">
        <v>65</v>
      </c>
      <c r="D980" t="s">
        <v>53</v>
      </c>
      <c r="E980">
        <v>539155</v>
      </c>
      <c r="F980" t="s">
        <v>1562</v>
      </c>
      <c r="H980" s="4">
        <v>45791</v>
      </c>
      <c r="I980" t="s">
        <v>1966</v>
      </c>
    </row>
    <row r="981" spans="1:9" x14ac:dyDescent="0.25">
      <c r="A981" t="s">
        <v>606</v>
      </c>
      <c r="B981" t="s">
        <v>304</v>
      </c>
      <c r="C981" s="3">
        <v>65</v>
      </c>
      <c r="D981" t="s">
        <v>53</v>
      </c>
      <c r="E981">
        <v>539156</v>
      </c>
      <c r="F981" t="s">
        <v>1562</v>
      </c>
      <c r="H981" s="4">
        <v>45791</v>
      </c>
      <c r="I981" t="s">
        <v>1966</v>
      </c>
    </row>
    <row r="982" spans="1:9" x14ac:dyDescent="0.25">
      <c r="A982" t="s">
        <v>605</v>
      </c>
      <c r="B982" t="s">
        <v>304</v>
      </c>
      <c r="C982" s="3">
        <v>65</v>
      </c>
      <c r="D982" t="s">
        <v>53</v>
      </c>
      <c r="E982">
        <v>539157</v>
      </c>
      <c r="F982" t="s">
        <v>1562</v>
      </c>
      <c r="H982" s="4">
        <v>45791</v>
      </c>
      <c r="I982" t="s">
        <v>1966</v>
      </c>
    </row>
    <row r="983" spans="1:9" x14ac:dyDescent="0.25">
      <c r="A983" t="s">
        <v>604</v>
      </c>
      <c r="B983" t="s">
        <v>304</v>
      </c>
      <c r="C983" s="3">
        <v>65</v>
      </c>
      <c r="D983" t="s">
        <v>53</v>
      </c>
      <c r="E983">
        <v>539158</v>
      </c>
      <c r="F983" t="s">
        <v>1562</v>
      </c>
      <c r="H983" s="4">
        <v>45791</v>
      </c>
      <c r="I983" t="s">
        <v>1966</v>
      </c>
    </row>
    <row r="984" spans="1:9" x14ac:dyDescent="0.25">
      <c r="A984" t="s">
        <v>603</v>
      </c>
      <c r="B984" t="s">
        <v>304</v>
      </c>
      <c r="C984" s="3">
        <v>65</v>
      </c>
      <c r="D984" t="s">
        <v>53</v>
      </c>
      <c r="E984">
        <v>539159</v>
      </c>
      <c r="F984" t="s">
        <v>1562</v>
      </c>
      <c r="H984" s="4">
        <v>45791</v>
      </c>
      <c r="I984" t="s">
        <v>1966</v>
      </c>
    </row>
    <row r="985" spans="1:9" x14ac:dyDescent="0.25">
      <c r="A985" t="s">
        <v>602</v>
      </c>
      <c r="B985" t="s">
        <v>304</v>
      </c>
      <c r="C985" s="3">
        <v>65</v>
      </c>
      <c r="D985" t="s">
        <v>53</v>
      </c>
      <c r="E985">
        <v>539160</v>
      </c>
      <c r="F985" t="s">
        <v>1562</v>
      </c>
      <c r="H985" s="4">
        <v>45791</v>
      </c>
      <c r="I985" t="s">
        <v>1966</v>
      </c>
    </row>
    <row r="986" spans="1:9" x14ac:dyDescent="0.25">
      <c r="A986" t="s">
        <v>601</v>
      </c>
      <c r="B986" t="s">
        <v>304</v>
      </c>
      <c r="C986" s="3">
        <v>130</v>
      </c>
      <c r="D986" t="s">
        <v>53</v>
      </c>
      <c r="E986">
        <v>539161</v>
      </c>
      <c r="F986" t="s">
        <v>1562</v>
      </c>
      <c r="H986" s="4">
        <v>45791</v>
      </c>
      <c r="I986" t="s">
        <v>1966</v>
      </c>
    </row>
    <row r="987" spans="1:9" x14ac:dyDescent="0.25">
      <c r="A987" t="s">
        <v>600</v>
      </c>
      <c r="B987" t="s">
        <v>304</v>
      </c>
      <c r="C987" s="3">
        <v>130</v>
      </c>
      <c r="D987" t="s">
        <v>53</v>
      </c>
      <c r="E987">
        <v>539162</v>
      </c>
      <c r="F987" t="s">
        <v>1562</v>
      </c>
      <c r="H987" s="4">
        <v>45791</v>
      </c>
      <c r="I987" t="s">
        <v>1966</v>
      </c>
    </row>
    <row r="988" spans="1:9" x14ac:dyDescent="0.25">
      <c r="A988" t="s">
        <v>599</v>
      </c>
      <c r="B988" t="s">
        <v>304</v>
      </c>
      <c r="C988" s="3">
        <v>130</v>
      </c>
      <c r="D988" t="s">
        <v>53</v>
      </c>
      <c r="E988">
        <v>539163</v>
      </c>
      <c r="F988" t="s">
        <v>1562</v>
      </c>
      <c r="H988" s="4">
        <v>45791</v>
      </c>
      <c r="I988" t="s">
        <v>1966</v>
      </c>
    </row>
    <row r="989" spans="1:9" x14ac:dyDescent="0.25">
      <c r="A989" t="s">
        <v>598</v>
      </c>
      <c r="B989" t="s">
        <v>304</v>
      </c>
      <c r="C989" s="3">
        <v>65</v>
      </c>
      <c r="D989" t="s">
        <v>53</v>
      </c>
      <c r="E989">
        <v>539164</v>
      </c>
      <c r="F989" t="s">
        <v>1562</v>
      </c>
      <c r="H989" s="4">
        <v>45791</v>
      </c>
      <c r="I989" t="s">
        <v>1966</v>
      </c>
    </row>
    <row r="990" spans="1:9" x14ac:dyDescent="0.25">
      <c r="A990" t="s">
        <v>597</v>
      </c>
      <c r="B990" t="s">
        <v>304</v>
      </c>
      <c r="C990" s="3">
        <v>65</v>
      </c>
      <c r="D990" t="s">
        <v>53</v>
      </c>
      <c r="E990">
        <v>539165</v>
      </c>
      <c r="F990" t="s">
        <v>1562</v>
      </c>
      <c r="H990" s="4">
        <v>45791</v>
      </c>
      <c r="I990" t="s">
        <v>1966</v>
      </c>
    </row>
    <row r="991" spans="1:9" x14ac:dyDescent="0.25">
      <c r="A991" t="s">
        <v>596</v>
      </c>
      <c r="B991" t="s">
        <v>304</v>
      </c>
      <c r="C991" s="3">
        <v>195</v>
      </c>
      <c r="D991" t="s">
        <v>53</v>
      </c>
      <c r="E991">
        <v>539166</v>
      </c>
      <c r="F991" t="s">
        <v>1562</v>
      </c>
      <c r="H991" s="4">
        <v>45791</v>
      </c>
      <c r="I991" t="s">
        <v>1966</v>
      </c>
    </row>
    <row r="992" spans="1:9" x14ac:dyDescent="0.25">
      <c r="A992" t="s">
        <v>595</v>
      </c>
      <c r="B992" t="s">
        <v>304</v>
      </c>
      <c r="C992" s="3">
        <v>65</v>
      </c>
      <c r="D992" t="s">
        <v>53</v>
      </c>
      <c r="E992">
        <v>539167</v>
      </c>
      <c r="F992" t="s">
        <v>1562</v>
      </c>
      <c r="H992" s="4">
        <v>45791</v>
      </c>
      <c r="I992" t="s">
        <v>1966</v>
      </c>
    </row>
    <row r="993" spans="1:9" x14ac:dyDescent="0.25">
      <c r="A993" t="s">
        <v>594</v>
      </c>
      <c r="B993" t="s">
        <v>304</v>
      </c>
      <c r="C993" s="3">
        <v>65</v>
      </c>
      <c r="D993" t="s">
        <v>53</v>
      </c>
      <c r="E993">
        <v>539168</v>
      </c>
      <c r="F993" t="s">
        <v>1562</v>
      </c>
      <c r="H993" s="4">
        <v>45791</v>
      </c>
      <c r="I993" t="s">
        <v>1966</v>
      </c>
    </row>
    <row r="994" spans="1:9" x14ac:dyDescent="0.25">
      <c r="A994" t="s">
        <v>593</v>
      </c>
      <c r="B994" t="s">
        <v>304</v>
      </c>
      <c r="C994" s="3">
        <v>130</v>
      </c>
      <c r="D994" t="s">
        <v>53</v>
      </c>
      <c r="E994">
        <v>539169</v>
      </c>
      <c r="F994" t="s">
        <v>1562</v>
      </c>
      <c r="H994" s="4">
        <v>45791</v>
      </c>
      <c r="I994" t="s">
        <v>1966</v>
      </c>
    </row>
    <row r="995" spans="1:9" x14ac:dyDescent="0.25">
      <c r="A995" t="s">
        <v>592</v>
      </c>
      <c r="B995" t="s">
        <v>304</v>
      </c>
      <c r="C995" s="3">
        <v>65</v>
      </c>
      <c r="D995" t="s">
        <v>53</v>
      </c>
      <c r="E995">
        <v>539170</v>
      </c>
      <c r="F995" t="s">
        <v>1562</v>
      </c>
      <c r="H995" s="4">
        <v>45791</v>
      </c>
      <c r="I995" t="s">
        <v>1966</v>
      </c>
    </row>
    <row r="996" spans="1:9" x14ac:dyDescent="0.25">
      <c r="A996" t="s">
        <v>591</v>
      </c>
      <c r="B996" t="s">
        <v>304</v>
      </c>
      <c r="C996" s="3">
        <v>65</v>
      </c>
      <c r="D996" t="s">
        <v>53</v>
      </c>
      <c r="E996">
        <v>539171</v>
      </c>
      <c r="F996" t="s">
        <v>1562</v>
      </c>
      <c r="H996" s="4">
        <v>45791</v>
      </c>
      <c r="I996" t="s">
        <v>1966</v>
      </c>
    </row>
    <row r="997" spans="1:9" x14ac:dyDescent="0.25">
      <c r="A997" t="s">
        <v>590</v>
      </c>
      <c r="B997" t="s">
        <v>304</v>
      </c>
      <c r="C997" s="3">
        <v>130</v>
      </c>
      <c r="D997" t="s">
        <v>53</v>
      </c>
      <c r="E997">
        <v>539172</v>
      </c>
      <c r="F997" t="s">
        <v>1562</v>
      </c>
      <c r="H997" s="4">
        <v>45791</v>
      </c>
      <c r="I997" t="s">
        <v>1966</v>
      </c>
    </row>
    <row r="998" spans="1:9" x14ac:dyDescent="0.25">
      <c r="A998" t="s">
        <v>589</v>
      </c>
      <c r="B998" t="s">
        <v>304</v>
      </c>
      <c r="C998" s="3">
        <v>130</v>
      </c>
      <c r="D998" t="s">
        <v>53</v>
      </c>
      <c r="E998">
        <v>539173</v>
      </c>
      <c r="F998" t="s">
        <v>1562</v>
      </c>
      <c r="H998" s="4">
        <v>45791</v>
      </c>
      <c r="I998" t="s">
        <v>1966</v>
      </c>
    </row>
    <row r="999" spans="1:9" x14ac:dyDescent="0.25">
      <c r="A999" t="s">
        <v>588</v>
      </c>
      <c r="B999" t="s">
        <v>304</v>
      </c>
      <c r="C999" s="3">
        <v>130</v>
      </c>
      <c r="D999" t="s">
        <v>53</v>
      </c>
      <c r="E999">
        <v>539174</v>
      </c>
      <c r="F999" t="s">
        <v>1562</v>
      </c>
      <c r="H999" s="4">
        <v>45791</v>
      </c>
      <c r="I999" t="s">
        <v>1966</v>
      </c>
    </row>
    <row r="1000" spans="1:9" x14ac:dyDescent="0.25">
      <c r="A1000" t="s">
        <v>587</v>
      </c>
      <c r="B1000" t="s">
        <v>304</v>
      </c>
      <c r="C1000" s="3">
        <v>65</v>
      </c>
      <c r="D1000" t="s">
        <v>53</v>
      </c>
      <c r="E1000">
        <v>539175</v>
      </c>
      <c r="F1000" t="s">
        <v>1562</v>
      </c>
      <c r="H1000" s="4">
        <v>45791</v>
      </c>
      <c r="I1000" t="s">
        <v>1966</v>
      </c>
    </row>
    <row r="1001" spans="1:9" x14ac:dyDescent="0.25">
      <c r="A1001" t="s">
        <v>586</v>
      </c>
      <c r="B1001" t="s">
        <v>304</v>
      </c>
      <c r="C1001" s="3">
        <v>65</v>
      </c>
      <c r="D1001" t="s">
        <v>53</v>
      </c>
      <c r="E1001">
        <v>539176</v>
      </c>
      <c r="F1001" t="s">
        <v>1562</v>
      </c>
      <c r="H1001" s="4">
        <v>45791</v>
      </c>
      <c r="I1001" t="s">
        <v>1966</v>
      </c>
    </row>
    <row r="1002" spans="1:9" x14ac:dyDescent="0.25">
      <c r="A1002" t="s">
        <v>585</v>
      </c>
      <c r="B1002" t="s">
        <v>304</v>
      </c>
      <c r="C1002" s="3">
        <v>65</v>
      </c>
      <c r="D1002" t="s">
        <v>53</v>
      </c>
      <c r="E1002">
        <v>539177</v>
      </c>
      <c r="F1002" t="s">
        <v>1562</v>
      </c>
      <c r="H1002" s="4">
        <v>45791</v>
      </c>
      <c r="I1002" t="s">
        <v>1966</v>
      </c>
    </row>
    <row r="1003" spans="1:9" x14ac:dyDescent="0.25">
      <c r="A1003" t="s">
        <v>584</v>
      </c>
      <c r="B1003" t="s">
        <v>304</v>
      </c>
      <c r="C1003" s="3">
        <v>65</v>
      </c>
      <c r="D1003" t="s">
        <v>53</v>
      </c>
      <c r="E1003">
        <v>539178</v>
      </c>
      <c r="F1003" t="s">
        <v>1562</v>
      </c>
      <c r="H1003" s="4">
        <v>45791</v>
      </c>
      <c r="I1003" t="s">
        <v>1966</v>
      </c>
    </row>
    <row r="1004" spans="1:9" x14ac:dyDescent="0.25">
      <c r="A1004" t="s">
        <v>583</v>
      </c>
      <c r="B1004" t="s">
        <v>304</v>
      </c>
      <c r="C1004" s="3">
        <v>65</v>
      </c>
      <c r="D1004" t="s">
        <v>53</v>
      </c>
      <c r="E1004">
        <v>539179</v>
      </c>
      <c r="F1004" t="s">
        <v>1562</v>
      </c>
      <c r="H1004" s="4">
        <v>45791</v>
      </c>
      <c r="I1004" t="s">
        <v>1966</v>
      </c>
    </row>
    <row r="1005" spans="1:9" x14ac:dyDescent="0.25">
      <c r="A1005" t="s">
        <v>375</v>
      </c>
      <c r="B1005" t="s">
        <v>304</v>
      </c>
      <c r="C1005" s="3">
        <v>130</v>
      </c>
      <c r="D1005" t="s">
        <v>53</v>
      </c>
      <c r="E1005">
        <v>539180</v>
      </c>
      <c r="F1005" t="s">
        <v>1562</v>
      </c>
      <c r="H1005" s="4">
        <v>45791</v>
      </c>
      <c r="I1005" t="s">
        <v>1966</v>
      </c>
    </row>
    <row r="1006" spans="1:9" x14ac:dyDescent="0.25">
      <c r="A1006" t="s">
        <v>582</v>
      </c>
      <c r="B1006" t="s">
        <v>304</v>
      </c>
      <c r="C1006" s="3">
        <v>65</v>
      </c>
      <c r="D1006" t="s">
        <v>53</v>
      </c>
      <c r="E1006">
        <v>539181</v>
      </c>
      <c r="F1006" t="s">
        <v>1562</v>
      </c>
      <c r="H1006" s="4">
        <v>45791</v>
      </c>
      <c r="I1006" t="s">
        <v>1966</v>
      </c>
    </row>
    <row r="1007" spans="1:9" x14ac:dyDescent="0.25">
      <c r="A1007" t="s">
        <v>581</v>
      </c>
      <c r="B1007" t="s">
        <v>304</v>
      </c>
      <c r="C1007" s="3">
        <v>65</v>
      </c>
      <c r="D1007" t="s">
        <v>53</v>
      </c>
      <c r="E1007">
        <v>539182</v>
      </c>
      <c r="F1007" t="s">
        <v>1562</v>
      </c>
      <c r="H1007" s="4">
        <v>45791</v>
      </c>
      <c r="I1007" t="s">
        <v>1966</v>
      </c>
    </row>
    <row r="1008" spans="1:9" x14ac:dyDescent="0.25">
      <c r="A1008" t="s">
        <v>580</v>
      </c>
      <c r="B1008" t="s">
        <v>304</v>
      </c>
      <c r="C1008" s="3">
        <v>130</v>
      </c>
      <c r="D1008" t="s">
        <v>53</v>
      </c>
      <c r="E1008">
        <v>539183</v>
      </c>
      <c r="F1008" t="s">
        <v>1562</v>
      </c>
      <c r="H1008" s="4">
        <v>45791</v>
      </c>
      <c r="I1008" t="s">
        <v>1966</v>
      </c>
    </row>
    <row r="1009" spans="1:9" x14ac:dyDescent="0.25">
      <c r="A1009" t="s">
        <v>579</v>
      </c>
      <c r="B1009" t="s">
        <v>304</v>
      </c>
      <c r="C1009" s="3">
        <v>65</v>
      </c>
      <c r="D1009" t="s">
        <v>53</v>
      </c>
      <c r="E1009">
        <v>539184</v>
      </c>
      <c r="F1009" t="s">
        <v>1562</v>
      </c>
      <c r="H1009" s="4">
        <v>45791</v>
      </c>
      <c r="I1009" t="s">
        <v>1966</v>
      </c>
    </row>
    <row r="1010" spans="1:9" x14ac:dyDescent="0.25">
      <c r="A1010" t="s">
        <v>578</v>
      </c>
      <c r="B1010" t="s">
        <v>304</v>
      </c>
      <c r="C1010" s="3">
        <v>65</v>
      </c>
      <c r="D1010" t="s">
        <v>53</v>
      </c>
      <c r="E1010">
        <v>539185</v>
      </c>
      <c r="F1010" t="s">
        <v>1562</v>
      </c>
      <c r="H1010" s="4">
        <v>45791</v>
      </c>
      <c r="I1010" t="s">
        <v>1966</v>
      </c>
    </row>
    <row r="1011" spans="1:9" x14ac:dyDescent="0.25">
      <c r="A1011" t="s">
        <v>577</v>
      </c>
      <c r="B1011" t="s">
        <v>304</v>
      </c>
      <c r="C1011" s="3">
        <v>130</v>
      </c>
      <c r="D1011" t="s">
        <v>53</v>
      </c>
      <c r="E1011">
        <v>539186</v>
      </c>
      <c r="F1011" t="s">
        <v>1562</v>
      </c>
      <c r="H1011" s="4">
        <v>45791</v>
      </c>
      <c r="I1011" t="s">
        <v>1966</v>
      </c>
    </row>
    <row r="1012" spans="1:9" x14ac:dyDescent="0.25">
      <c r="A1012" t="s">
        <v>576</v>
      </c>
      <c r="B1012" t="s">
        <v>304</v>
      </c>
      <c r="C1012" s="3">
        <v>130</v>
      </c>
      <c r="D1012" t="s">
        <v>53</v>
      </c>
      <c r="E1012">
        <v>539187</v>
      </c>
      <c r="F1012" t="s">
        <v>1562</v>
      </c>
      <c r="H1012" s="4">
        <v>45791</v>
      </c>
      <c r="I1012" t="s">
        <v>1966</v>
      </c>
    </row>
    <row r="1013" spans="1:9" x14ac:dyDescent="0.25">
      <c r="A1013" t="s">
        <v>575</v>
      </c>
      <c r="B1013" t="s">
        <v>304</v>
      </c>
      <c r="C1013" s="3">
        <v>50</v>
      </c>
      <c r="D1013" t="s">
        <v>53</v>
      </c>
      <c r="E1013">
        <v>539188</v>
      </c>
      <c r="F1013" t="s">
        <v>1562</v>
      </c>
      <c r="G1013" t="s">
        <v>1728</v>
      </c>
      <c r="H1013" s="4">
        <v>45791</v>
      </c>
      <c r="I1013" t="s">
        <v>1966</v>
      </c>
    </row>
    <row r="1014" spans="1:9" x14ac:dyDescent="0.25">
      <c r="A1014" t="s">
        <v>574</v>
      </c>
      <c r="B1014" t="s">
        <v>304</v>
      </c>
      <c r="C1014" s="3">
        <v>100</v>
      </c>
      <c r="D1014" t="s">
        <v>53</v>
      </c>
      <c r="E1014">
        <v>539189</v>
      </c>
      <c r="F1014" t="s">
        <v>1562</v>
      </c>
      <c r="G1014" t="s">
        <v>1726</v>
      </c>
      <c r="H1014" s="4">
        <v>45791</v>
      </c>
      <c r="I1014" t="s">
        <v>1966</v>
      </c>
    </row>
    <row r="1015" spans="1:9" x14ac:dyDescent="0.25">
      <c r="A1015" t="s">
        <v>578</v>
      </c>
      <c r="B1015" t="s">
        <v>304</v>
      </c>
      <c r="C1015" s="3">
        <v>500</v>
      </c>
      <c r="D1015" t="s">
        <v>53</v>
      </c>
      <c r="E1015">
        <v>539191</v>
      </c>
      <c r="F1015" t="s">
        <v>1562</v>
      </c>
      <c r="H1015" s="4">
        <v>45791</v>
      </c>
      <c r="I1015" t="s">
        <v>1966</v>
      </c>
    </row>
    <row r="1016" spans="1:9" x14ac:dyDescent="0.25">
      <c r="A1016" t="s">
        <v>54</v>
      </c>
      <c r="B1016" t="s">
        <v>304</v>
      </c>
      <c r="C1016" s="3">
        <v>65</v>
      </c>
      <c r="D1016" t="s">
        <v>53</v>
      </c>
      <c r="E1016">
        <v>539192</v>
      </c>
      <c r="F1016" t="s">
        <v>1562</v>
      </c>
      <c r="H1016" s="4">
        <v>45791</v>
      </c>
      <c r="I1016" t="s">
        <v>1966</v>
      </c>
    </row>
    <row r="1017" spans="1:9" x14ac:dyDescent="0.25">
      <c r="A1017" t="s">
        <v>481</v>
      </c>
      <c r="B1017" t="s">
        <v>304</v>
      </c>
      <c r="C1017" s="3">
        <v>25</v>
      </c>
      <c r="D1017" t="s">
        <v>53</v>
      </c>
      <c r="E1017">
        <v>539151</v>
      </c>
      <c r="F1017" t="s">
        <v>1562</v>
      </c>
      <c r="G1017" t="s">
        <v>1730</v>
      </c>
      <c r="H1017" s="4">
        <v>45791</v>
      </c>
      <c r="I1017" t="s">
        <v>1966</v>
      </c>
    </row>
    <row r="1018" spans="1:9" x14ac:dyDescent="0.25">
      <c r="A1018" t="s">
        <v>630</v>
      </c>
      <c r="B1018" t="s">
        <v>304</v>
      </c>
      <c r="C1018" s="3">
        <v>25</v>
      </c>
      <c r="D1018" t="s">
        <v>53</v>
      </c>
      <c r="E1018">
        <v>539152</v>
      </c>
      <c r="F1018" t="s">
        <v>1562</v>
      </c>
      <c r="G1018" t="s">
        <v>1730</v>
      </c>
      <c r="H1018" s="4">
        <v>45791</v>
      </c>
      <c r="I1018" t="s">
        <v>1966</v>
      </c>
    </row>
    <row r="1019" spans="1:9" x14ac:dyDescent="0.25">
      <c r="A1019" t="s">
        <v>641</v>
      </c>
      <c r="B1019" t="s">
        <v>304</v>
      </c>
      <c r="C1019" s="3">
        <v>200</v>
      </c>
      <c r="D1019" t="s">
        <v>53</v>
      </c>
      <c r="E1019">
        <v>539125</v>
      </c>
      <c r="F1019" t="s">
        <v>1562</v>
      </c>
      <c r="G1019" t="s">
        <v>1727</v>
      </c>
      <c r="H1019" s="4">
        <v>45791</v>
      </c>
      <c r="I1019" t="s">
        <v>1966</v>
      </c>
    </row>
    <row r="1020" spans="1:9" x14ac:dyDescent="0.25">
      <c r="A1020" t="s">
        <v>629</v>
      </c>
      <c r="B1020" t="s">
        <v>304</v>
      </c>
      <c r="C1020" s="3">
        <v>100</v>
      </c>
      <c r="D1020" t="s">
        <v>53</v>
      </c>
      <c r="E1020">
        <v>539205</v>
      </c>
      <c r="F1020" t="s">
        <v>1562</v>
      </c>
      <c r="G1020" t="s">
        <v>1713</v>
      </c>
      <c r="H1020" s="4">
        <v>45792</v>
      </c>
      <c r="I1020" t="s">
        <v>1966</v>
      </c>
    </row>
    <row r="1021" spans="1:9" x14ac:dyDescent="0.25">
      <c r="A1021" t="s">
        <v>134</v>
      </c>
      <c r="B1021" t="s">
        <v>304</v>
      </c>
      <c r="C1021" s="3">
        <v>2175</v>
      </c>
      <c r="D1021" t="s">
        <v>53</v>
      </c>
      <c r="E1021">
        <v>539207</v>
      </c>
      <c r="F1021" t="s">
        <v>1562</v>
      </c>
      <c r="G1021" t="s">
        <v>1712</v>
      </c>
      <c r="H1021" s="4">
        <v>45792</v>
      </c>
      <c r="I1021" t="s">
        <v>1966</v>
      </c>
    </row>
    <row r="1022" spans="1:9" x14ac:dyDescent="0.25">
      <c r="A1022" t="s">
        <v>321</v>
      </c>
      <c r="B1022" t="s">
        <v>304</v>
      </c>
      <c r="C1022" s="3">
        <v>100</v>
      </c>
      <c r="D1022" t="s">
        <v>53</v>
      </c>
      <c r="E1022">
        <v>537156</v>
      </c>
      <c r="F1022" t="s">
        <v>1562</v>
      </c>
      <c r="G1022" t="s">
        <v>1690</v>
      </c>
      <c r="H1022" s="4">
        <v>45792</v>
      </c>
      <c r="I1022" t="s">
        <v>1966</v>
      </c>
    </row>
    <row r="1023" spans="1:9" x14ac:dyDescent="0.25">
      <c r="A1023" t="s">
        <v>322</v>
      </c>
      <c r="B1023" t="s">
        <v>304</v>
      </c>
      <c r="C1023" s="3">
        <v>500</v>
      </c>
      <c r="D1023" t="s">
        <v>53</v>
      </c>
      <c r="E1023">
        <v>537158</v>
      </c>
      <c r="F1023" t="s">
        <v>1562</v>
      </c>
      <c r="H1023" s="4">
        <v>45792</v>
      </c>
      <c r="I1023" t="s">
        <v>1966</v>
      </c>
    </row>
    <row r="1024" spans="1:9" x14ac:dyDescent="0.25">
      <c r="A1024" t="s">
        <v>627</v>
      </c>
      <c r="B1024" t="s">
        <v>304</v>
      </c>
      <c r="C1024" s="3">
        <v>500</v>
      </c>
      <c r="D1024" t="s">
        <v>53</v>
      </c>
      <c r="E1024">
        <v>539215</v>
      </c>
      <c r="F1024" t="s">
        <v>1562</v>
      </c>
      <c r="G1024" t="s">
        <v>1728</v>
      </c>
      <c r="H1024" s="4">
        <v>45793</v>
      </c>
      <c r="I1024" t="s">
        <v>1966</v>
      </c>
    </row>
    <row r="1025" spans="1:9" x14ac:dyDescent="0.25">
      <c r="A1025" t="s">
        <v>497</v>
      </c>
      <c r="B1025" t="s">
        <v>304</v>
      </c>
      <c r="C1025" s="3">
        <v>50</v>
      </c>
      <c r="D1025" t="s">
        <v>53</v>
      </c>
      <c r="E1025">
        <v>539216</v>
      </c>
      <c r="F1025" t="s">
        <v>1562</v>
      </c>
      <c r="G1025" t="s">
        <v>1727</v>
      </c>
      <c r="H1025" s="4">
        <v>45793</v>
      </c>
      <c r="I1025" t="s">
        <v>1966</v>
      </c>
    </row>
    <row r="1026" spans="1:9" x14ac:dyDescent="0.25">
      <c r="A1026" t="s">
        <v>626</v>
      </c>
      <c r="B1026" t="s">
        <v>304</v>
      </c>
      <c r="C1026" s="3">
        <v>40</v>
      </c>
      <c r="D1026" t="s">
        <v>53</v>
      </c>
      <c r="E1026">
        <v>539217</v>
      </c>
      <c r="F1026" t="s">
        <v>1562</v>
      </c>
      <c r="G1026" t="s">
        <v>1726</v>
      </c>
      <c r="H1026" s="4">
        <v>45793</v>
      </c>
      <c r="I1026" t="s">
        <v>1966</v>
      </c>
    </row>
    <row r="1027" spans="1:9" x14ac:dyDescent="0.25">
      <c r="A1027" t="s">
        <v>625</v>
      </c>
      <c r="B1027" t="s">
        <v>304</v>
      </c>
      <c r="C1027" s="3">
        <v>250</v>
      </c>
      <c r="D1027" t="s">
        <v>53</v>
      </c>
      <c r="E1027">
        <v>539218</v>
      </c>
      <c r="F1027" t="s">
        <v>1562</v>
      </c>
      <c r="G1027" t="s">
        <v>1712</v>
      </c>
      <c r="H1027" s="4">
        <v>45793</v>
      </c>
      <c r="I1027" t="s">
        <v>1966</v>
      </c>
    </row>
    <row r="1028" spans="1:9" x14ac:dyDescent="0.25">
      <c r="A1028" t="s">
        <v>423</v>
      </c>
      <c r="B1028" t="s">
        <v>304</v>
      </c>
      <c r="C1028" s="3">
        <v>200</v>
      </c>
      <c r="D1028" t="s">
        <v>53</v>
      </c>
      <c r="E1028">
        <v>539222</v>
      </c>
      <c r="F1028" t="s">
        <v>1562</v>
      </c>
      <c r="G1028" t="s">
        <v>1713</v>
      </c>
      <c r="H1028" s="4">
        <v>45793</v>
      </c>
      <c r="I1028" t="s">
        <v>1966</v>
      </c>
    </row>
    <row r="1029" spans="1:9" x14ac:dyDescent="0.25">
      <c r="A1029" t="s">
        <v>423</v>
      </c>
      <c r="B1029" t="s">
        <v>304</v>
      </c>
      <c r="C1029" s="3">
        <v>200</v>
      </c>
      <c r="D1029" t="s">
        <v>53</v>
      </c>
      <c r="E1029">
        <v>539223</v>
      </c>
      <c r="F1029" t="s">
        <v>1562</v>
      </c>
      <c r="G1029" t="s">
        <v>1728</v>
      </c>
      <c r="H1029" s="4">
        <v>45793</v>
      </c>
      <c r="I1029" t="s">
        <v>1966</v>
      </c>
    </row>
    <row r="1030" spans="1:9" x14ac:dyDescent="0.25">
      <c r="A1030" t="s">
        <v>628</v>
      </c>
      <c r="B1030" t="s">
        <v>304</v>
      </c>
      <c r="C1030" s="3">
        <v>130</v>
      </c>
      <c r="D1030" t="s">
        <v>53</v>
      </c>
      <c r="E1030">
        <v>539224</v>
      </c>
      <c r="F1030" t="s">
        <v>1562</v>
      </c>
      <c r="H1030" s="4">
        <v>45793</v>
      </c>
      <c r="I1030" t="s">
        <v>1966</v>
      </c>
    </row>
    <row r="1031" spans="1:9" x14ac:dyDescent="0.25">
      <c r="A1031" t="s">
        <v>721</v>
      </c>
      <c r="B1031" t="s">
        <v>304</v>
      </c>
      <c r="C1031" s="3">
        <v>100</v>
      </c>
      <c r="D1031" t="s">
        <v>53</v>
      </c>
      <c r="E1031">
        <v>539220</v>
      </c>
      <c r="F1031" t="s">
        <v>1562</v>
      </c>
      <c r="G1031" t="s">
        <v>1728</v>
      </c>
      <c r="H1031" s="4">
        <v>45793</v>
      </c>
      <c r="I1031" t="s">
        <v>1966</v>
      </c>
    </row>
    <row r="1032" spans="1:9" x14ac:dyDescent="0.25">
      <c r="A1032" t="s">
        <v>702</v>
      </c>
      <c r="B1032" t="s">
        <v>304</v>
      </c>
      <c r="C1032" s="3">
        <v>65</v>
      </c>
      <c r="D1032" t="s">
        <v>53</v>
      </c>
      <c r="E1032">
        <v>539226</v>
      </c>
      <c r="F1032" t="s">
        <v>1562</v>
      </c>
      <c r="H1032" s="4">
        <v>45793</v>
      </c>
      <c r="I1032" t="s">
        <v>1966</v>
      </c>
    </row>
    <row r="1033" spans="1:9" x14ac:dyDescent="0.25">
      <c r="A1033" t="s">
        <v>718</v>
      </c>
      <c r="B1033" t="s">
        <v>304</v>
      </c>
      <c r="C1033" s="3">
        <v>130</v>
      </c>
      <c r="D1033" t="s">
        <v>53</v>
      </c>
      <c r="E1033">
        <v>539236</v>
      </c>
      <c r="F1033" t="s">
        <v>1562</v>
      </c>
      <c r="H1033" s="4">
        <v>45797</v>
      </c>
      <c r="I1033" t="s">
        <v>1966</v>
      </c>
    </row>
    <row r="1034" spans="1:9" x14ac:dyDescent="0.25">
      <c r="A1034" t="s">
        <v>717</v>
      </c>
      <c r="B1034" t="s">
        <v>304</v>
      </c>
      <c r="C1034" s="3">
        <v>65</v>
      </c>
      <c r="D1034" t="s">
        <v>53</v>
      </c>
      <c r="E1034">
        <v>539237</v>
      </c>
      <c r="F1034" t="s">
        <v>1562</v>
      </c>
      <c r="H1034" s="4">
        <v>45797</v>
      </c>
      <c r="I1034" t="s">
        <v>1966</v>
      </c>
    </row>
    <row r="1035" spans="1:9" x14ac:dyDescent="0.25">
      <c r="A1035" t="s">
        <v>401</v>
      </c>
      <c r="B1035" t="s">
        <v>304</v>
      </c>
      <c r="C1035" s="3">
        <v>65</v>
      </c>
      <c r="D1035" t="s">
        <v>53</v>
      </c>
      <c r="E1035">
        <v>539238</v>
      </c>
      <c r="F1035" t="s">
        <v>1562</v>
      </c>
      <c r="H1035" s="4">
        <v>45797</v>
      </c>
      <c r="I1035" t="s">
        <v>1966</v>
      </c>
    </row>
    <row r="1036" spans="1:9" x14ac:dyDescent="0.25">
      <c r="A1036" t="s">
        <v>723</v>
      </c>
      <c r="B1036" t="s">
        <v>304</v>
      </c>
      <c r="C1036" s="3">
        <v>50</v>
      </c>
      <c r="D1036" t="s">
        <v>53</v>
      </c>
      <c r="E1036">
        <v>539232</v>
      </c>
      <c r="F1036" t="s">
        <v>1562</v>
      </c>
      <c r="G1036" t="s">
        <v>1728</v>
      </c>
      <c r="H1036" s="4">
        <v>45797</v>
      </c>
      <c r="I1036" t="s">
        <v>1966</v>
      </c>
    </row>
    <row r="1037" spans="1:9" x14ac:dyDescent="0.25">
      <c r="A1037" t="s">
        <v>722</v>
      </c>
      <c r="B1037" t="s">
        <v>304</v>
      </c>
      <c r="C1037" s="3">
        <v>100</v>
      </c>
      <c r="D1037" t="s">
        <v>53</v>
      </c>
      <c r="E1037">
        <v>539233</v>
      </c>
      <c r="F1037" t="s">
        <v>1562</v>
      </c>
      <c r="G1037" t="s">
        <v>1731</v>
      </c>
      <c r="H1037" s="4">
        <v>45797</v>
      </c>
      <c r="I1037" t="s">
        <v>1966</v>
      </c>
    </row>
    <row r="1038" spans="1:9" x14ac:dyDescent="0.25">
      <c r="A1038" t="s">
        <v>720</v>
      </c>
      <c r="B1038" t="s">
        <v>304</v>
      </c>
      <c r="C1038" s="3">
        <v>65</v>
      </c>
      <c r="D1038" t="s">
        <v>53</v>
      </c>
      <c r="E1038">
        <v>539253</v>
      </c>
      <c r="F1038" t="s">
        <v>1562</v>
      </c>
      <c r="H1038" s="4">
        <v>45797</v>
      </c>
      <c r="I1038" t="s">
        <v>1966</v>
      </c>
    </row>
    <row r="1039" spans="1:9" x14ac:dyDescent="0.25">
      <c r="A1039" t="s">
        <v>719</v>
      </c>
      <c r="B1039" t="s">
        <v>304</v>
      </c>
      <c r="C1039" s="3">
        <v>65</v>
      </c>
      <c r="D1039" t="s">
        <v>53</v>
      </c>
      <c r="E1039">
        <v>539251</v>
      </c>
      <c r="F1039" t="s">
        <v>1562</v>
      </c>
      <c r="H1039" s="4">
        <v>45797</v>
      </c>
      <c r="I1039" t="s">
        <v>1966</v>
      </c>
    </row>
    <row r="1040" spans="1:9" x14ac:dyDescent="0.25">
      <c r="A1040" t="s">
        <v>729</v>
      </c>
      <c r="B1040" t="s">
        <v>304</v>
      </c>
      <c r="C1040" s="3">
        <v>50</v>
      </c>
      <c r="D1040" t="s">
        <v>53</v>
      </c>
      <c r="E1040">
        <v>539245</v>
      </c>
      <c r="F1040" t="s">
        <v>1562</v>
      </c>
      <c r="G1040" t="s">
        <v>1727</v>
      </c>
      <c r="H1040" s="4">
        <v>45797</v>
      </c>
      <c r="I1040" t="s">
        <v>1966</v>
      </c>
    </row>
    <row r="1041" spans="1:9" x14ac:dyDescent="0.25">
      <c r="A1041" t="s">
        <v>728</v>
      </c>
      <c r="B1041" t="s">
        <v>304</v>
      </c>
      <c r="C1041" s="3">
        <v>100</v>
      </c>
      <c r="D1041" t="s">
        <v>53</v>
      </c>
      <c r="E1041">
        <v>539246</v>
      </c>
      <c r="F1041" t="s">
        <v>1562</v>
      </c>
      <c r="G1041" t="s">
        <v>1726</v>
      </c>
      <c r="H1041" s="4">
        <v>45797</v>
      </c>
      <c r="I1041" t="s">
        <v>1966</v>
      </c>
    </row>
    <row r="1042" spans="1:9" x14ac:dyDescent="0.25">
      <c r="A1042" t="s">
        <v>727</v>
      </c>
      <c r="B1042" t="s">
        <v>304</v>
      </c>
      <c r="C1042" s="3">
        <v>200</v>
      </c>
      <c r="D1042" t="s">
        <v>53</v>
      </c>
      <c r="E1042">
        <v>539247</v>
      </c>
      <c r="F1042" t="s">
        <v>1562</v>
      </c>
      <c r="G1042" t="s">
        <v>1728</v>
      </c>
      <c r="H1042" s="4">
        <v>45797</v>
      </c>
      <c r="I1042" t="s">
        <v>1966</v>
      </c>
    </row>
    <row r="1043" spans="1:9" x14ac:dyDescent="0.25">
      <c r="A1043" t="s">
        <v>726</v>
      </c>
      <c r="B1043" t="s">
        <v>304</v>
      </c>
      <c r="C1043" s="3">
        <v>100</v>
      </c>
      <c r="D1043" t="s">
        <v>53</v>
      </c>
      <c r="E1043">
        <v>539248</v>
      </c>
      <c r="F1043" t="s">
        <v>1562</v>
      </c>
      <c r="G1043" t="s">
        <v>1731</v>
      </c>
      <c r="H1043" s="4">
        <v>45797</v>
      </c>
      <c r="I1043" t="s">
        <v>1966</v>
      </c>
    </row>
    <row r="1044" spans="1:9" x14ac:dyDescent="0.25">
      <c r="A1044" t="s">
        <v>725</v>
      </c>
      <c r="B1044" t="s">
        <v>304</v>
      </c>
      <c r="C1044" s="3">
        <v>50</v>
      </c>
      <c r="D1044" t="s">
        <v>53</v>
      </c>
      <c r="E1044">
        <v>539249</v>
      </c>
      <c r="F1044" t="s">
        <v>1562</v>
      </c>
      <c r="G1044" t="s">
        <v>1728</v>
      </c>
      <c r="H1044" s="4">
        <v>45797</v>
      </c>
      <c r="I1044" t="s">
        <v>1966</v>
      </c>
    </row>
    <row r="1045" spans="1:9" x14ac:dyDescent="0.25">
      <c r="A1045" t="s">
        <v>317</v>
      </c>
      <c r="B1045" t="s">
        <v>304</v>
      </c>
      <c r="C1045" s="3">
        <v>25</v>
      </c>
      <c r="D1045" t="s">
        <v>53</v>
      </c>
      <c r="E1045">
        <v>539254</v>
      </c>
      <c r="F1045" t="s">
        <v>1562</v>
      </c>
      <c r="G1045" t="s">
        <v>1732</v>
      </c>
      <c r="H1045" s="4">
        <v>45798</v>
      </c>
      <c r="I1045" t="s">
        <v>1966</v>
      </c>
    </row>
    <row r="1046" spans="1:9" x14ac:dyDescent="0.25">
      <c r="A1046" t="s">
        <v>716</v>
      </c>
      <c r="B1046" t="s">
        <v>304</v>
      </c>
      <c r="C1046" s="3">
        <v>65</v>
      </c>
      <c r="D1046" t="s">
        <v>53</v>
      </c>
      <c r="E1046">
        <v>539256</v>
      </c>
      <c r="F1046" t="s">
        <v>1562</v>
      </c>
      <c r="H1046" s="4">
        <v>45798</v>
      </c>
      <c r="I1046" t="s">
        <v>1966</v>
      </c>
    </row>
    <row r="1047" spans="1:9" x14ac:dyDescent="0.25">
      <c r="A1047" t="s">
        <v>319</v>
      </c>
      <c r="B1047" t="s">
        <v>304</v>
      </c>
      <c r="C1047" s="3">
        <v>100</v>
      </c>
      <c r="D1047" t="s">
        <v>53</v>
      </c>
      <c r="E1047">
        <v>537272</v>
      </c>
      <c r="F1047" t="s">
        <v>1562</v>
      </c>
      <c r="G1047" t="s">
        <v>1690</v>
      </c>
      <c r="H1047" s="4">
        <v>45798</v>
      </c>
      <c r="I1047" t="s">
        <v>1966</v>
      </c>
    </row>
    <row r="1048" spans="1:9" x14ac:dyDescent="0.25">
      <c r="A1048" t="s">
        <v>185</v>
      </c>
      <c r="B1048" t="s">
        <v>304</v>
      </c>
      <c r="C1048" s="3">
        <v>100</v>
      </c>
      <c r="D1048" t="s">
        <v>53</v>
      </c>
      <c r="E1048">
        <v>537273</v>
      </c>
      <c r="F1048" t="s">
        <v>1562</v>
      </c>
      <c r="G1048" t="s">
        <v>1690</v>
      </c>
      <c r="H1048" s="4">
        <v>45798</v>
      </c>
      <c r="I1048" t="s">
        <v>1966</v>
      </c>
    </row>
    <row r="1049" spans="1:9" x14ac:dyDescent="0.25">
      <c r="A1049" t="s">
        <v>318</v>
      </c>
      <c r="B1049" t="s">
        <v>304</v>
      </c>
      <c r="C1049" s="3">
        <v>10</v>
      </c>
      <c r="D1049" t="s">
        <v>53</v>
      </c>
      <c r="E1049">
        <v>537274</v>
      </c>
      <c r="F1049" t="s">
        <v>1562</v>
      </c>
      <c r="G1049" t="s">
        <v>1690</v>
      </c>
      <c r="H1049" s="4">
        <v>45798</v>
      </c>
      <c r="I1049" t="s">
        <v>1966</v>
      </c>
    </row>
    <row r="1050" spans="1:9" x14ac:dyDescent="0.25">
      <c r="A1050" t="s">
        <v>317</v>
      </c>
      <c r="B1050" t="s">
        <v>304</v>
      </c>
      <c r="C1050" s="3">
        <v>234</v>
      </c>
      <c r="D1050" t="s">
        <v>53</v>
      </c>
      <c r="E1050">
        <v>537275</v>
      </c>
      <c r="F1050" t="s">
        <v>1562</v>
      </c>
      <c r="G1050" t="s">
        <v>1690</v>
      </c>
      <c r="H1050" s="4">
        <v>45798</v>
      </c>
      <c r="I1050" t="s">
        <v>1966</v>
      </c>
    </row>
    <row r="1051" spans="1:9" x14ac:dyDescent="0.25">
      <c r="A1051" t="s">
        <v>715</v>
      </c>
      <c r="B1051" t="s">
        <v>304</v>
      </c>
      <c r="C1051" s="3">
        <v>70</v>
      </c>
      <c r="D1051" t="s">
        <v>53</v>
      </c>
      <c r="E1051">
        <v>539262</v>
      </c>
      <c r="F1051" t="s">
        <v>1562</v>
      </c>
      <c r="G1051" t="s">
        <v>1693</v>
      </c>
      <c r="H1051" s="4">
        <v>45803</v>
      </c>
      <c r="I1051" t="s">
        <v>1966</v>
      </c>
    </row>
    <row r="1052" spans="1:9" x14ac:dyDescent="0.25">
      <c r="A1052" t="s">
        <v>714</v>
      </c>
      <c r="B1052" t="s">
        <v>304</v>
      </c>
      <c r="C1052" s="3">
        <v>50</v>
      </c>
      <c r="D1052" t="s">
        <v>53</v>
      </c>
      <c r="E1052">
        <v>539263</v>
      </c>
      <c r="F1052" t="s">
        <v>1562</v>
      </c>
      <c r="G1052" t="s">
        <v>1730</v>
      </c>
      <c r="H1052" s="4">
        <v>45803</v>
      </c>
      <c r="I1052" t="s">
        <v>1966</v>
      </c>
    </row>
    <row r="1053" spans="1:9" x14ac:dyDescent="0.25">
      <c r="A1053" t="s">
        <v>713</v>
      </c>
      <c r="B1053" t="s">
        <v>304</v>
      </c>
      <c r="C1053" s="3">
        <v>65</v>
      </c>
      <c r="D1053" t="s">
        <v>53</v>
      </c>
      <c r="E1053">
        <v>539264</v>
      </c>
      <c r="F1053" t="s">
        <v>1562</v>
      </c>
      <c r="H1053" s="4">
        <v>45803</v>
      </c>
      <c r="I1053" t="s">
        <v>1966</v>
      </c>
    </row>
    <row r="1054" spans="1:9" x14ac:dyDescent="0.25">
      <c r="A1054" t="s">
        <v>49</v>
      </c>
      <c r="B1054" t="s">
        <v>304</v>
      </c>
      <c r="C1054" s="3">
        <v>50</v>
      </c>
      <c r="D1054" t="s">
        <v>53</v>
      </c>
      <c r="E1054">
        <v>539266</v>
      </c>
      <c r="F1054" t="s">
        <v>1562</v>
      </c>
      <c r="G1054" t="s">
        <v>1713</v>
      </c>
      <c r="H1054" s="4">
        <v>45803</v>
      </c>
      <c r="I1054" t="s">
        <v>1966</v>
      </c>
    </row>
    <row r="1055" spans="1:9" x14ac:dyDescent="0.25">
      <c r="A1055" t="s">
        <v>737</v>
      </c>
      <c r="B1055" t="s">
        <v>304</v>
      </c>
      <c r="C1055" s="3">
        <v>50</v>
      </c>
      <c r="D1055" t="s">
        <v>53</v>
      </c>
      <c r="E1055">
        <v>539267</v>
      </c>
      <c r="F1055" t="s">
        <v>1562</v>
      </c>
      <c r="G1055" t="s">
        <v>1733</v>
      </c>
      <c r="H1055" s="4">
        <v>45803</v>
      </c>
      <c r="I1055" t="s">
        <v>1966</v>
      </c>
    </row>
    <row r="1056" spans="1:9" x14ac:dyDescent="0.25">
      <c r="A1056" t="s">
        <v>739</v>
      </c>
      <c r="B1056" t="s">
        <v>304</v>
      </c>
      <c r="C1056" s="3">
        <v>300</v>
      </c>
      <c r="D1056" t="s">
        <v>53</v>
      </c>
      <c r="E1056">
        <v>539269</v>
      </c>
      <c r="F1056" t="s">
        <v>1562</v>
      </c>
      <c r="H1056" s="4">
        <v>45804</v>
      </c>
      <c r="I1056" t="s">
        <v>1966</v>
      </c>
    </row>
    <row r="1057" spans="1:9" x14ac:dyDescent="0.25">
      <c r="A1057" t="s">
        <v>738</v>
      </c>
      <c r="B1057" t="s">
        <v>304</v>
      </c>
      <c r="C1057" s="3">
        <v>100</v>
      </c>
      <c r="D1057" t="s">
        <v>53</v>
      </c>
      <c r="E1057">
        <v>539270</v>
      </c>
      <c r="F1057" t="s">
        <v>1562</v>
      </c>
      <c r="G1057" t="s">
        <v>1733</v>
      </c>
      <c r="H1057" s="4">
        <v>45804</v>
      </c>
      <c r="I1057" t="s">
        <v>1966</v>
      </c>
    </row>
    <row r="1058" spans="1:9" x14ac:dyDescent="0.25">
      <c r="A1058" t="s">
        <v>748</v>
      </c>
      <c r="B1058" t="s">
        <v>304</v>
      </c>
      <c r="C1058" s="3">
        <v>100</v>
      </c>
      <c r="D1058" t="s">
        <v>53</v>
      </c>
      <c r="E1058">
        <v>539272</v>
      </c>
      <c r="F1058" t="s">
        <v>1562</v>
      </c>
      <c r="G1058" t="s">
        <v>1733</v>
      </c>
      <c r="H1058" s="4">
        <v>45804</v>
      </c>
      <c r="I1058" t="s">
        <v>1966</v>
      </c>
    </row>
    <row r="1059" spans="1:9" x14ac:dyDescent="0.25">
      <c r="A1059" t="s">
        <v>749</v>
      </c>
      <c r="B1059" t="s">
        <v>304</v>
      </c>
      <c r="C1059" s="3">
        <v>130</v>
      </c>
      <c r="D1059" t="s">
        <v>53</v>
      </c>
      <c r="E1059">
        <v>539304</v>
      </c>
      <c r="F1059" t="s">
        <v>1562</v>
      </c>
      <c r="H1059" s="4">
        <v>45805</v>
      </c>
      <c r="I1059" t="s">
        <v>1966</v>
      </c>
    </row>
    <row r="1060" spans="1:9" x14ac:dyDescent="0.25">
      <c r="A1060" t="s">
        <v>747</v>
      </c>
      <c r="B1060" t="s">
        <v>304</v>
      </c>
      <c r="C1060" s="3">
        <v>50</v>
      </c>
      <c r="D1060" t="s">
        <v>53</v>
      </c>
      <c r="E1060">
        <v>539299</v>
      </c>
      <c r="F1060" t="s">
        <v>1562</v>
      </c>
      <c r="G1060" t="s">
        <v>1713</v>
      </c>
      <c r="H1060" s="4">
        <v>45805</v>
      </c>
      <c r="I1060" t="s">
        <v>1966</v>
      </c>
    </row>
    <row r="1061" spans="1:9" x14ac:dyDescent="0.25">
      <c r="A1061" t="s">
        <v>746</v>
      </c>
      <c r="B1061" t="s">
        <v>304</v>
      </c>
      <c r="C1061" s="3">
        <v>50</v>
      </c>
      <c r="D1061" t="s">
        <v>53</v>
      </c>
      <c r="E1061">
        <v>539300</v>
      </c>
      <c r="F1061" t="s">
        <v>1562</v>
      </c>
      <c r="G1061" t="s">
        <v>1713</v>
      </c>
      <c r="H1061" s="4">
        <v>45805</v>
      </c>
      <c r="I1061" t="s">
        <v>1966</v>
      </c>
    </row>
    <row r="1062" spans="1:9" x14ac:dyDescent="0.25">
      <c r="A1062" t="s">
        <v>746</v>
      </c>
      <c r="B1062" t="s">
        <v>304</v>
      </c>
      <c r="C1062" s="3">
        <v>50</v>
      </c>
      <c r="D1062" t="s">
        <v>53</v>
      </c>
      <c r="E1062">
        <v>539301</v>
      </c>
      <c r="F1062" t="s">
        <v>1562</v>
      </c>
      <c r="G1062" t="s">
        <v>1712</v>
      </c>
      <c r="H1062" s="4">
        <v>45805</v>
      </c>
      <c r="I1062" t="s">
        <v>1966</v>
      </c>
    </row>
    <row r="1063" spans="1:9" x14ac:dyDescent="0.25">
      <c r="A1063" t="s">
        <v>745</v>
      </c>
      <c r="B1063" t="s">
        <v>304</v>
      </c>
      <c r="C1063" s="3">
        <v>130</v>
      </c>
      <c r="D1063" t="s">
        <v>53</v>
      </c>
      <c r="E1063">
        <v>539284</v>
      </c>
      <c r="F1063" t="s">
        <v>1562</v>
      </c>
      <c r="H1063" s="4">
        <v>45805</v>
      </c>
      <c r="I1063" t="s">
        <v>1966</v>
      </c>
    </row>
    <row r="1064" spans="1:9" x14ac:dyDescent="0.25">
      <c r="A1064" t="s">
        <v>744</v>
      </c>
      <c r="B1064" t="s">
        <v>304</v>
      </c>
      <c r="C1064" s="3">
        <v>50</v>
      </c>
      <c r="D1064" t="s">
        <v>53</v>
      </c>
      <c r="E1064">
        <v>539275</v>
      </c>
      <c r="F1064" t="s">
        <v>1562</v>
      </c>
      <c r="G1064" t="s">
        <v>1728</v>
      </c>
      <c r="H1064" s="4">
        <v>45805</v>
      </c>
      <c r="I1064" t="s">
        <v>1966</v>
      </c>
    </row>
    <row r="1065" spans="1:9" x14ac:dyDescent="0.25">
      <c r="A1065" t="s">
        <v>743</v>
      </c>
      <c r="B1065" t="s">
        <v>304</v>
      </c>
      <c r="C1065" s="3">
        <v>100</v>
      </c>
      <c r="D1065" t="s">
        <v>53</v>
      </c>
      <c r="E1065">
        <v>539276</v>
      </c>
      <c r="F1065" t="s">
        <v>1562</v>
      </c>
      <c r="G1065" t="s">
        <v>1728</v>
      </c>
      <c r="H1065" s="4">
        <v>45805</v>
      </c>
      <c r="I1065" t="s">
        <v>1966</v>
      </c>
    </row>
    <row r="1066" spans="1:9" x14ac:dyDescent="0.25">
      <c r="A1066" t="s">
        <v>742</v>
      </c>
      <c r="B1066" t="s">
        <v>304</v>
      </c>
      <c r="C1066" s="3">
        <v>50</v>
      </c>
      <c r="D1066" t="s">
        <v>53</v>
      </c>
      <c r="E1066">
        <v>539277</v>
      </c>
      <c r="F1066" t="s">
        <v>1562</v>
      </c>
      <c r="G1066" t="s">
        <v>1733</v>
      </c>
      <c r="H1066" s="4">
        <v>45805</v>
      </c>
      <c r="I1066" t="s">
        <v>1966</v>
      </c>
    </row>
    <row r="1067" spans="1:9" x14ac:dyDescent="0.25">
      <c r="A1067" t="s">
        <v>741</v>
      </c>
      <c r="B1067" t="s">
        <v>304</v>
      </c>
      <c r="C1067" s="3">
        <v>50</v>
      </c>
      <c r="D1067" t="s">
        <v>53</v>
      </c>
      <c r="E1067">
        <v>539278</v>
      </c>
      <c r="F1067" t="s">
        <v>1562</v>
      </c>
      <c r="G1067" t="s">
        <v>1733</v>
      </c>
      <c r="H1067" s="4">
        <v>45805</v>
      </c>
      <c r="I1067" t="s">
        <v>1966</v>
      </c>
    </row>
    <row r="1068" spans="1:9" x14ac:dyDescent="0.25">
      <c r="A1068" t="s">
        <v>740</v>
      </c>
      <c r="B1068" t="s">
        <v>304</v>
      </c>
      <c r="C1068" s="3">
        <v>50</v>
      </c>
      <c r="D1068" t="s">
        <v>53</v>
      </c>
      <c r="E1068">
        <v>539279</v>
      </c>
      <c r="F1068" t="s">
        <v>1562</v>
      </c>
      <c r="G1068" t="s">
        <v>1733</v>
      </c>
      <c r="H1068" s="4">
        <v>45805</v>
      </c>
      <c r="I1068" t="s">
        <v>1966</v>
      </c>
    </row>
    <row r="1069" spans="1:9" x14ac:dyDescent="0.25">
      <c r="A1069" t="s">
        <v>736</v>
      </c>
      <c r="B1069" t="s">
        <v>304</v>
      </c>
      <c r="C1069" s="3">
        <v>130</v>
      </c>
      <c r="D1069" t="s">
        <v>53</v>
      </c>
      <c r="E1069">
        <v>539290</v>
      </c>
      <c r="F1069" t="s">
        <v>1562</v>
      </c>
      <c r="H1069" s="4">
        <v>45805</v>
      </c>
      <c r="I1069" t="s">
        <v>1966</v>
      </c>
    </row>
    <row r="1070" spans="1:9" x14ac:dyDescent="0.25">
      <c r="A1070" t="s">
        <v>735</v>
      </c>
      <c r="B1070" t="s">
        <v>304</v>
      </c>
      <c r="C1070" s="3">
        <v>50</v>
      </c>
      <c r="D1070" t="s">
        <v>53</v>
      </c>
      <c r="E1070">
        <v>539291</v>
      </c>
      <c r="F1070" t="s">
        <v>1562</v>
      </c>
      <c r="G1070" t="s">
        <v>1725</v>
      </c>
      <c r="H1070" s="4">
        <v>45805</v>
      </c>
      <c r="I1070" t="s">
        <v>1966</v>
      </c>
    </row>
    <row r="1071" spans="1:9" x14ac:dyDescent="0.25">
      <c r="A1071" t="s">
        <v>36</v>
      </c>
      <c r="B1071" t="s">
        <v>304</v>
      </c>
      <c r="C1071" s="3">
        <v>25</v>
      </c>
      <c r="D1071" t="s">
        <v>53</v>
      </c>
      <c r="E1071">
        <v>539292</v>
      </c>
      <c r="F1071" t="s">
        <v>1562</v>
      </c>
      <c r="G1071" t="s">
        <v>1690</v>
      </c>
      <c r="H1071" s="4">
        <v>45806</v>
      </c>
      <c r="I1071" t="s">
        <v>1966</v>
      </c>
    </row>
    <row r="1072" spans="1:9" x14ac:dyDescent="0.25">
      <c r="A1072" t="s">
        <v>734</v>
      </c>
      <c r="B1072" t="s">
        <v>304</v>
      </c>
      <c r="C1072" s="3">
        <v>150</v>
      </c>
      <c r="D1072" t="s">
        <v>53</v>
      </c>
      <c r="E1072">
        <v>539293</v>
      </c>
      <c r="F1072" t="s">
        <v>1562</v>
      </c>
      <c r="G1072" t="s">
        <v>1690</v>
      </c>
      <c r="H1072" s="4">
        <v>45806</v>
      </c>
      <c r="I1072" t="s">
        <v>1966</v>
      </c>
    </row>
    <row r="1073" spans="1:9" x14ac:dyDescent="0.25">
      <c r="A1073" t="s">
        <v>733</v>
      </c>
      <c r="B1073" t="s">
        <v>304</v>
      </c>
      <c r="C1073" s="3">
        <v>50</v>
      </c>
      <c r="D1073" t="s">
        <v>53</v>
      </c>
      <c r="E1073">
        <v>539294</v>
      </c>
      <c r="F1073" t="s">
        <v>1562</v>
      </c>
      <c r="G1073" t="s">
        <v>1690</v>
      </c>
      <c r="H1073" s="4">
        <v>45806</v>
      </c>
      <c r="I1073" t="s">
        <v>1966</v>
      </c>
    </row>
    <row r="1074" spans="1:9" x14ac:dyDescent="0.25">
      <c r="A1074" t="s">
        <v>732</v>
      </c>
      <c r="B1074" t="s">
        <v>304</v>
      </c>
      <c r="C1074" s="3">
        <v>65</v>
      </c>
      <c r="D1074" t="s">
        <v>53</v>
      </c>
      <c r="E1074">
        <v>539295</v>
      </c>
      <c r="F1074" t="s">
        <v>1562</v>
      </c>
      <c r="H1074" s="4">
        <v>45806</v>
      </c>
      <c r="I1074" t="s">
        <v>1966</v>
      </c>
    </row>
    <row r="1075" spans="1:9" x14ac:dyDescent="0.25">
      <c r="A1075" t="s">
        <v>731</v>
      </c>
      <c r="B1075" t="s">
        <v>304</v>
      </c>
      <c r="C1075" s="3">
        <v>50</v>
      </c>
      <c r="D1075" t="s">
        <v>53</v>
      </c>
      <c r="E1075">
        <v>539296</v>
      </c>
      <c r="F1075" t="s">
        <v>1562</v>
      </c>
      <c r="G1075" t="s">
        <v>1713</v>
      </c>
      <c r="H1075" s="4">
        <v>45806</v>
      </c>
      <c r="I1075" t="s">
        <v>1966</v>
      </c>
    </row>
    <row r="1076" spans="1:9" x14ac:dyDescent="0.25">
      <c r="A1076" t="s">
        <v>730</v>
      </c>
      <c r="B1076" t="s">
        <v>304</v>
      </c>
      <c r="C1076" s="3">
        <v>50</v>
      </c>
      <c r="D1076" t="s">
        <v>53</v>
      </c>
      <c r="E1076">
        <v>539297</v>
      </c>
      <c r="F1076" t="s">
        <v>1562</v>
      </c>
      <c r="G1076" t="s">
        <v>1727</v>
      </c>
      <c r="H1076" s="4">
        <v>45806</v>
      </c>
      <c r="I1076" t="s">
        <v>1966</v>
      </c>
    </row>
    <row r="1077" spans="1:9" x14ac:dyDescent="0.25">
      <c r="A1077" t="s">
        <v>52</v>
      </c>
      <c r="B1077" t="s">
        <v>304</v>
      </c>
      <c r="C1077" s="3">
        <v>100</v>
      </c>
      <c r="D1077" t="s">
        <v>53</v>
      </c>
      <c r="E1077">
        <v>538382</v>
      </c>
      <c r="F1077" t="s">
        <v>1562</v>
      </c>
      <c r="G1077" t="s">
        <v>1734</v>
      </c>
      <c r="H1077" s="4">
        <v>45809</v>
      </c>
      <c r="I1077" t="s">
        <v>1966</v>
      </c>
    </row>
    <row r="1078" spans="1:9" x14ac:dyDescent="0.25">
      <c r="A1078" t="s">
        <v>1022</v>
      </c>
      <c r="B1078" t="s">
        <v>304</v>
      </c>
      <c r="C1078" s="3">
        <v>25</v>
      </c>
      <c r="D1078" t="s">
        <v>53</v>
      </c>
      <c r="E1078">
        <v>538027</v>
      </c>
      <c r="F1078" t="s">
        <v>1562</v>
      </c>
      <c r="G1078" t="s">
        <v>1713</v>
      </c>
      <c r="H1078" s="4">
        <v>45810</v>
      </c>
      <c r="I1078" t="s">
        <v>1966</v>
      </c>
    </row>
    <row r="1079" spans="1:9" x14ac:dyDescent="0.25">
      <c r="A1079" t="s">
        <v>438</v>
      </c>
      <c r="B1079" t="s">
        <v>304</v>
      </c>
      <c r="C1079" s="3">
        <v>60</v>
      </c>
      <c r="D1079" t="s">
        <v>53</v>
      </c>
      <c r="E1079">
        <v>539706</v>
      </c>
      <c r="F1079" t="s">
        <v>1562</v>
      </c>
      <c r="G1079" t="s">
        <v>1728</v>
      </c>
      <c r="H1079" s="4">
        <v>45810</v>
      </c>
      <c r="I1079" t="s">
        <v>1966</v>
      </c>
    </row>
    <row r="1080" spans="1:9" x14ac:dyDescent="0.25">
      <c r="A1080" t="s">
        <v>573</v>
      </c>
      <c r="B1080" t="s">
        <v>304</v>
      </c>
      <c r="C1080" s="3">
        <v>100</v>
      </c>
      <c r="D1080" t="s">
        <v>53</v>
      </c>
      <c r="E1080">
        <v>539704</v>
      </c>
      <c r="F1080" t="s">
        <v>1562</v>
      </c>
      <c r="G1080" t="s">
        <v>1722</v>
      </c>
      <c r="H1080" s="4">
        <v>45810</v>
      </c>
      <c r="I1080" t="s">
        <v>1966</v>
      </c>
    </row>
    <row r="1081" spans="1:9" x14ac:dyDescent="0.25">
      <c r="A1081" t="s">
        <v>562</v>
      </c>
      <c r="B1081" t="s">
        <v>304</v>
      </c>
      <c r="C1081" s="3">
        <v>75</v>
      </c>
      <c r="D1081" t="s">
        <v>53</v>
      </c>
      <c r="E1081">
        <v>539699</v>
      </c>
      <c r="F1081" t="s">
        <v>1562</v>
      </c>
      <c r="G1081" t="s">
        <v>1728</v>
      </c>
      <c r="H1081" s="4">
        <v>45810</v>
      </c>
      <c r="I1081" t="s">
        <v>1966</v>
      </c>
    </row>
    <row r="1082" spans="1:9" x14ac:dyDescent="0.25">
      <c r="A1082" t="s">
        <v>561</v>
      </c>
      <c r="B1082" t="s">
        <v>304</v>
      </c>
      <c r="C1082" s="3">
        <v>50</v>
      </c>
      <c r="D1082" t="s">
        <v>53</v>
      </c>
      <c r="E1082">
        <v>539700</v>
      </c>
      <c r="F1082" t="s">
        <v>1562</v>
      </c>
      <c r="G1082" t="s">
        <v>1724</v>
      </c>
      <c r="H1082" s="4">
        <v>45810</v>
      </c>
      <c r="I1082" t="s">
        <v>1966</v>
      </c>
    </row>
    <row r="1083" spans="1:9" x14ac:dyDescent="0.25">
      <c r="A1083" t="s">
        <v>560</v>
      </c>
      <c r="B1083" t="s">
        <v>304</v>
      </c>
      <c r="C1083" s="3">
        <v>25</v>
      </c>
      <c r="D1083" t="s">
        <v>53</v>
      </c>
      <c r="E1083">
        <v>539701</v>
      </c>
      <c r="F1083" t="s">
        <v>1562</v>
      </c>
      <c r="G1083" t="s">
        <v>1728</v>
      </c>
      <c r="H1083" s="4">
        <v>45810</v>
      </c>
      <c r="I1083" t="s">
        <v>1966</v>
      </c>
    </row>
    <row r="1084" spans="1:9" x14ac:dyDescent="0.25">
      <c r="A1084" t="s">
        <v>559</v>
      </c>
      <c r="B1084" t="s">
        <v>304</v>
      </c>
      <c r="C1084" s="3">
        <v>50</v>
      </c>
      <c r="D1084" t="s">
        <v>53</v>
      </c>
      <c r="E1084">
        <v>539702</v>
      </c>
      <c r="F1084" t="s">
        <v>1562</v>
      </c>
      <c r="G1084" t="s">
        <v>1733</v>
      </c>
      <c r="H1084" s="4">
        <v>45810</v>
      </c>
      <c r="I1084" t="s">
        <v>1966</v>
      </c>
    </row>
    <row r="1085" spans="1:9" x14ac:dyDescent="0.25">
      <c r="A1085" t="s">
        <v>437</v>
      </c>
      <c r="B1085" t="s">
        <v>304</v>
      </c>
      <c r="C1085" s="3">
        <v>25</v>
      </c>
      <c r="D1085" t="s">
        <v>53</v>
      </c>
      <c r="E1085">
        <v>539707</v>
      </c>
      <c r="F1085" t="s">
        <v>1562</v>
      </c>
      <c r="G1085" t="s">
        <v>1713</v>
      </c>
      <c r="H1085" s="4">
        <v>45811</v>
      </c>
      <c r="I1085" t="s">
        <v>1966</v>
      </c>
    </row>
    <row r="1086" spans="1:9" x14ac:dyDescent="0.25">
      <c r="A1086" t="s">
        <v>439</v>
      </c>
      <c r="B1086" t="s">
        <v>304</v>
      </c>
      <c r="C1086" s="3">
        <v>50</v>
      </c>
      <c r="D1086" t="s">
        <v>53</v>
      </c>
      <c r="E1086">
        <v>539715</v>
      </c>
      <c r="F1086" t="s">
        <v>1562</v>
      </c>
      <c r="G1086" t="s">
        <v>1713</v>
      </c>
      <c r="H1086" s="4">
        <v>45811</v>
      </c>
      <c r="I1086" t="s">
        <v>1966</v>
      </c>
    </row>
    <row r="1087" spans="1:9" x14ac:dyDescent="0.25">
      <c r="A1087" t="s">
        <v>572</v>
      </c>
      <c r="B1087" t="s">
        <v>304</v>
      </c>
      <c r="C1087" s="3">
        <v>100</v>
      </c>
      <c r="D1087" t="s">
        <v>53</v>
      </c>
      <c r="E1087">
        <v>539710</v>
      </c>
      <c r="F1087" t="s">
        <v>1562</v>
      </c>
      <c r="G1087" t="s">
        <v>1728</v>
      </c>
      <c r="H1087" s="4">
        <v>45811</v>
      </c>
      <c r="I1087" t="s">
        <v>1966</v>
      </c>
    </row>
    <row r="1088" spans="1:9" x14ac:dyDescent="0.25">
      <c r="A1088" t="s">
        <v>572</v>
      </c>
      <c r="B1088" t="s">
        <v>304</v>
      </c>
      <c r="C1088" s="3">
        <v>100</v>
      </c>
      <c r="D1088" t="s">
        <v>53</v>
      </c>
      <c r="E1088">
        <v>539711</v>
      </c>
      <c r="F1088" t="s">
        <v>1562</v>
      </c>
      <c r="G1088" t="s">
        <v>1713</v>
      </c>
      <c r="H1088" s="4">
        <v>45811</v>
      </c>
      <c r="I1088" t="s">
        <v>1966</v>
      </c>
    </row>
    <row r="1089" spans="1:9" x14ac:dyDescent="0.25">
      <c r="A1089" t="s">
        <v>571</v>
      </c>
      <c r="B1089" t="s">
        <v>304</v>
      </c>
      <c r="C1089" s="3">
        <v>250</v>
      </c>
      <c r="D1089" t="s">
        <v>53</v>
      </c>
      <c r="E1089">
        <v>539712</v>
      </c>
      <c r="F1089" t="s">
        <v>1562</v>
      </c>
      <c r="G1089" t="s">
        <v>1733</v>
      </c>
      <c r="H1089" s="4">
        <v>45811</v>
      </c>
      <c r="I1089" t="s">
        <v>1966</v>
      </c>
    </row>
    <row r="1090" spans="1:9" x14ac:dyDescent="0.25">
      <c r="A1090" t="s">
        <v>440</v>
      </c>
      <c r="B1090" t="s">
        <v>304</v>
      </c>
      <c r="C1090" s="3">
        <v>65</v>
      </c>
      <c r="D1090" t="s">
        <v>53</v>
      </c>
      <c r="E1090">
        <v>539717</v>
      </c>
      <c r="F1090" t="s">
        <v>1562</v>
      </c>
      <c r="H1090" s="4">
        <v>45811</v>
      </c>
      <c r="I1090" t="s">
        <v>1966</v>
      </c>
    </row>
    <row r="1091" spans="1:9" x14ac:dyDescent="0.25">
      <c r="A1091" t="s">
        <v>50</v>
      </c>
      <c r="B1091" t="s">
        <v>304</v>
      </c>
      <c r="C1091" s="3">
        <v>50</v>
      </c>
      <c r="D1091" t="s">
        <v>53</v>
      </c>
      <c r="E1091">
        <v>538036</v>
      </c>
      <c r="F1091" t="s">
        <v>1562</v>
      </c>
      <c r="G1091" t="s">
        <v>1713</v>
      </c>
      <c r="H1091" s="4">
        <v>45811</v>
      </c>
      <c r="I1091" t="s">
        <v>1966</v>
      </c>
    </row>
    <row r="1092" spans="1:9" x14ac:dyDescent="0.25">
      <c r="A1092" t="s">
        <v>1023</v>
      </c>
      <c r="B1092" t="s">
        <v>304</v>
      </c>
      <c r="C1092" s="3">
        <v>1000</v>
      </c>
      <c r="D1092" t="s">
        <v>53</v>
      </c>
      <c r="E1092">
        <v>538075</v>
      </c>
      <c r="F1092" t="s">
        <v>1562</v>
      </c>
      <c r="H1092" s="4">
        <v>45812</v>
      </c>
      <c r="I1092" t="s">
        <v>1966</v>
      </c>
    </row>
    <row r="1093" spans="1:9" x14ac:dyDescent="0.25">
      <c r="A1093" t="s">
        <v>441</v>
      </c>
      <c r="B1093" t="s">
        <v>304</v>
      </c>
      <c r="C1093" s="3">
        <v>50</v>
      </c>
      <c r="D1093" t="s">
        <v>53</v>
      </c>
      <c r="E1093">
        <v>539731</v>
      </c>
      <c r="F1093" t="s">
        <v>1562</v>
      </c>
      <c r="G1093" t="s">
        <v>1728</v>
      </c>
      <c r="H1093" s="4">
        <v>45812</v>
      </c>
      <c r="I1093" t="s">
        <v>1966</v>
      </c>
    </row>
    <row r="1094" spans="1:9" x14ac:dyDescent="0.25">
      <c r="A1094" t="s">
        <v>40</v>
      </c>
      <c r="B1094" t="s">
        <v>304</v>
      </c>
      <c r="C1094" s="3">
        <v>100</v>
      </c>
      <c r="D1094" t="s">
        <v>53</v>
      </c>
      <c r="E1094">
        <v>539734</v>
      </c>
      <c r="F1094" t="s">
        <v>1562</v>
      </c>
      <c r="G1094" t="s">
        <v>1713</v>
      </c>
      <c r="H1094" s="4">
        <v>45812</v>
      </c>
      <c r="I1094" t="s">
        <v>1966</v>
      </c>
    </row>
    <row r="1095" spans="1:9" x14ac:dyDescent="0.25">
      <c r="A1095" t="s">
        <v>451</v>
      </c>
      <c r="B1095" t="s">
        <v>304</v>
      </c>
      <c r="C1095" s="3">
        <v>50</v>
      </c>
      <c r="D1095" t="s">
        <v>53</v>
      </c>
      <c r="E1095">
        <v>539735</v>
      </c>
      <c r="F1095" t="s">
        <v>1562</v>
      </c>
      <c r="G1095" t="s">
        <v>1733</v>
      </c>
      <c r="H1095" s="4">
        <v>45812</v>
      </c>
      <c r="I1095" t="s">
        <v>1966</v>
      </c>
    </row>
    <row r="1096" spans="1:9" x14ac:dyDescent="0.25">
      <c r="A1096" t="s">
        <v>450</v>
      </c>
      <c r="B1096" t="s">
        <v>304</v>
      </c>
      <c r="C1096" s="3">
        <v>25</v>
      </c>
      <c r="D1096" t="s">
        <v>53</v>
      </c>
      <c r="E1096">
        <v>539736</v>
      </c>
      <c r="F1096" t="s">
        <v>1562</v>
      </c>
      <c r="G1096" t="s">
        <v>1728</v>
      </c>
      <c r="H1096" s="4">
        <v>45812</v>
      </c>
      <c r="I1096" t="s">
        <v>1966</v>
      </c>
    </row>
    <row r="1097" spans="1:9" x14ac:dyDescent="0.25">
      <c r="A1097" t="s">
        <v>449</v>
      </c>
      <c r="B1097" t="s">
        <v>304</v>
      </c>
      <c r="C1097" s="3">
        <v>50</v>
      </c>
      <c r="D1097" t="s">
        <v>53</v>
      </c>
      <c r="E1097">
        <v>539737</v>
      </c>
      <c r="F1097" t="s">
        <v>1562</v>
      </c>
      <c r="G1097" t="s">
        <v>1690</v>
      </c>
      <c r="H1097" s="4">
        <v>45812</v>
      </c>
      <c r="I1097" t="s">
        <v>1966</v>
      </c>
    </row>
    <row r="1098" spans="1:9" x14ac:dyDescent="0.25">
      <c r="A1098" t="s">
        <v>570</v>
      </c>
      <c r="B1098" t="s">
        <v>304</v>
      </c>
      <c r="C1098" s="3">
        <v>50</v>
      </c>
      <c r="D1098" t="s">
        <v>53</v>
      </c>
      <c r="E1098">
        <v>539719</v>
      </c>
      <c r="F1098" t="s">
        <v>1562</v>
      </c>
      <c r="G1098" t="s">
        <v>1693</v>
      </c>
      <c r="H1098" s="4">
        <v>45812</v>
      </c>
      <c r="I1098" t="s">
        <v>1966</v>
      </c>
    </row>
    <row r="1099" spans="1:9" x14ac:dyDescent="0.25">
      <c r="A1099" t="s">
        <v>569</v>
      </c>
      <c r="B1099" t="s">
        <v>304</v>
      </c>
      <c r="C1099" s="3">
        <v>20</v>
      </c>
      <c r="D1099" t="s">
        <v>53</v>
      </c>
      <c r="E1099">
        <v>539720</v>
      </c>
      <c r="F1099" t="s">
        <v>1562</v>
      </c>
      <c r="H1099" s="4">
        <v>45812</v>
      </c>
      <c r="I1099" t="s">
        <v>1966</v>
      </c>
    </row>
    <row r="1100" spans="1:9" x14ac:dyDescent="0.25">
      <c r="A1100" t="s">
        <v>568</v>
      </c>
      <c r="B1100" t="s">
        <v>304</v>
      </c>
      <c r="C1100" s="3">
        <v>100</v>
      </c>
      <c r="D1100" t="s">
        <v>53</v>
      </c>
      <c r="E1100">
        <v>539721</v>
      </c>
      <c r="F1100" t="s">
        <v>1562</v>
      </c>
      <c r="G1100" t="s">
        <v>1728</v>
      </c>
      <c r="H1100" s="4">
        <v>45812</v>
      </c>
      <c r="I1100" t="s">
        <v>1966</v>
      </c>
    </row>
    <row r="1101" spans="1:9" x14ac:dyDescent="0.25">
      <c r="A1101" t="s">
        <v>567</v>
      </c>
      <c r="B1101" t="s">
        <v>304</v>
      </c>
      <c r="C1101" s="3">
        <v>100</v>
      </c>
      <c r="D1101" t="s">
        <v>53</v>
      </c>
      <c r="E1101">
        <v>539722</v>
      </c>
      <c r="F1101" t="s">
        <v>1562</v>
      </c>
      <c r="G1101" t="s">
        <v>1728</v>
      </c>
      <c r="H1101" s="4">
        <v>45812</v>
      </c>
      <c r="I1101" t="s">
        <v>1966</v>
      </c>
    </row>
    <row r="1102" spans="1:9" x14ac:dyDescent="0.25">
      <c r="A1102" t="s">
        <v>566</v>
      </c>
      <c r="B1102" t="s">
        <v>304</v>
      </c>
      <c r="C1102" s="3">
        <v>40</v>
      </c>
      <c r="D1102" t="s">
        <v>53</v>
      </c>
      <c r="E1102">
        <v>539723</v>
      </c>
      <c r="F1102" t="s">
        <v>1562</v>
      </c>
      <c r="G1102" t="s">
        <v>1693</v>
      </c>
      <c r="H1102" s="4">
        <v>45812</v>
      </c>
      <c r="I1102" t="s">
        <v>1966</v>
      </c>
    </row>
    <row r="1103" spans="1:9" x14ac:dyDescent="0.25">
      <c r="A1103" t="s">
        <v>565</v>
      </c>
      <c r="B1103" t="s">
        <v>304</v>
      </c>
      <c r="C1103" s="3">
        <v>250</v>
      </c>
      <c r="D1103" t="s">
        <v>53</v>
      </c>
      <c r="E1103">
        <v>539724</v>
      </c>
      <c r="F1103" t="s">
        <v>1562</v>
      </c>
      <c r="G1103" t="s">
        <v>1690</v>
      </c>
      <c r="H1103" s="4">
        <v>45812</v>
      </c>
      <c r="I1103" t="s">
        <v>1966</v>
      </c>
    </row>
    <row r="1104" spans="1:9" x14ac:dyDescent="0.25">
      <c r="A1104" t="s">
        <v>564</v>
      </c>
      <c r="B1104" t="s">
        <v>304</v>
      </c>
      <c r="C1104" s="3">
        <v>20</v>
      </c>
      <c r="D1104" t="s">
        <v>53</v>
      </c>
      <c r="E1104">
        <v>539725</v>
      </c>
      <c r="F1104" t="s">
        <v>1562</v>
      </c>
      <c r="G1104" t="s">
        <v>1733</v>
      </c>
      <c r="H1104" s="4">
        <v>45812</v>
      </c>
      <c r="I1104" t="s">
        <v>1966</v>
      </c>
    </row>
    <row r="1105" spans="1:9" x14ac:dyDescent="0.25">
      <c r="A1105" t="s">
        <v>453</v>
      </c>
      <c r="B1105" t="s">
        <v>304</v>
      </c>
      <c r="C1105" s="3">
        <v>20</v>
      </c>
      <c r="D1105" t="s">
        <v>53</v>
      </c>
      <c r="E1105">
        <v>539726</v>
      </c>
      <c r="F1105" t="s">
        <v>1562</v>
      </c>
      <c r="G1105" t="s">
        <v>1733</v>
      </c>
      <c r="H1105" s="4">
        <v>45812</v>
      </c>
      <c r="I1105" t="s">
        <v>1966</v>
      </c>
    </row>
    <row r="1106" spans="1:9" x14ac:dyDescent="0.25">
      <c r="A1106" t="s">
        <v>1967</v>
      </c>
      <c r="B1106" t="s">
        <v>304</v>
      </c>
      <c r="C1106" s="3">
        <v>50</v>
      </c>
      <c r="D1106" t="s">
        <v>53</v>
      </c>
      <c r="E1106">
        <v>539727</v>
      </c>
      <c r="F1106" t="s">
        <v>1562</v>
      </c>
      <c r="G1106" t="s">
        <v>1713</v>
      </c>
      <c r="H1106" s="4">
        <v>45812</v>
      </c>
      <c r="I1106" t="s">
        <v>1966</v>
      </c>
    </row>
    <row r="1107" spans="1:9" x14ac:dyDescent="0.25">
      <c r="A1107" t="s">
        <v>563</v>
      </c>
      <c r="B1107" t="s">
        <v>304</v>
      </c>
      <c r="C1107" s="3">
        <v>50</v>
      </c>
      <c r="D1107" t="s">
        <v>53</v>
      </c>
      <c r="E1107">
        <v>539728</v>
      </c>
      <c r="F1107" t="s">
        <v>1562</v>
      </c>
      <c r="G1107" t="s">
        <v>1727</v>
      </c>
      <c r="H1107" s="4">
        <v>45812</v>
      </c>
      <c r="I1107" t="s">
        <v>1966</v>
      </c>
    </row>
    <row r="1108" spans="1:9" x14ac:dyDescent="0.25">
      <c r="A1108" t="s">
        <v>446</v>
      </c>
      <c r="B1108" t="s">
        <v>304</v>
      </c>
      <c r="C1108" s="3">
        <v>130</v>
      </c>
      <c r="D1108" t="s">
        <v>53</v>
      </c>
      <c r="E1108">
        <v>539749</v>
      </c>
      <c r="F1108" t="s">
        <v>1562</v>
      </c>
      <c r="H1108" s="4">
        <v>45812</v>
      </c>
      <c r="I1108" t="s">
        <v>1966</v>
      </c>
    </row>
    <row r="1109" spans="1:9" x14ac:dyDescent="0.25">
      <c r="A1109" t="s">
        <v>445</v>
      </c>
      <c r="B1109" t="s">
        <v>304</v>
      </c>
      <c r="C1109" s="3">
        <v>65</v>
      </c>
      <c r="D1109" t="s">
        <v>53</v>
      </c>
      <c r="E1109">
        <v>539750</v>
      </c>
      <c r="F1109" t="s">
        <v>1562</v>
      </c>
      <c r="H1109" s="4">
        <v>45812</v>
      </c>
      <c r="I1109" t="s">
        <v>1966</v>
      </c>
    </row>
    <row r="1110" spans="1:9" x14ac:dyDescent="0.25">
      <c r="A1110" t="s">
        <v>444</v>
      </c>
      <c r="B1110" t="s">
        <v>304</v>
      </c>
      <c r="C1110" s="3">
        <v>65</v>
      </c>
      <c r="D1110" t="s">
        <v>53</v>
      </c>
      <c r="E1110">
        <v>539751</v>
      </c>
      <c r="F1110" t="s">
        <v>1562</v>
      </c>
      <c r="H1110" s="4">
        <v>45812</v>
      </c>
      <c r="I1110" t="s">
        <v>1966</v>
      </c>
    </row>
    <row r="1111" spans="1:9" x14ac:dyDescent="0.25">
      <c r="A1111" t="s">
        <v>443</v>
      </c>
      <c r="B1111" t="s">
        <v>304</v>
      </c>
      <c r="C1111" s="3">
        <v>65</v>
      </c>
      <c r="D1111" t="s">
        <v>53</v>
      </c>
      <c r="E1111">
        <v>539752</v>
      </c>
      <c r="F1111" t="s">
        <v>1562</v>
      </c>
      <c r="H1111" s="4">
        <v>45812</v>
      </c>
      <c r="I1111" t="s">
        <v>1966</v>
      </c>
    </row>
    <row r="1112" spans="1:9" x14ac:dyDescent="0.25">
      <c r="A1112" t="s">
        <v>442</v>
      </c>
      <c r="B1112" t="s">
        <v>304</v>
      </c>
      <c r="C1112" s="3">
        <v>65</v>
      </c>
      <c r="D1112" t="s">
        <v>53</v>
      </c>
      <c r="E1112">
        <v>539753</v>
      </c>
      <c r="F1112" t="s">
        <v>1562</v>
      </c>
      <c r="H1112" s="4">
        <v>45812</v>
      </c>
      <c r="I1112" t="s">
        <v>1966</v>
      </c>
    </row>
    <row r="1113" spans="1:9" x14ac:dyDescent="0.25">
      <c r="A1113" t="s">
        <v>528</v>
      </c>
      <c r="B1113" t="s">
        <v>304</v>
      </c>
      <c r="C1113" s="3">
        <v>65</v>
      </c>
      <c r="D1113" t="s">
        <v>53</v>
      </c>
      <c r="E1113">
        <v>539739</v>
      </c>
      <c r="F1113" t="s">
        <v>1562</v>
      </c>
      <c r="H1113" s="4">
        <v>45812</v>
      </c>
      <c r="I1113" t="s">
        <v>1966</v>
      </c>
    </row>
    <row r="1114" spans="1:9" x14ac:dyDescent="0.25">
      <c r="A1114" t="s">
        <v>527</v>
      </c>
      <c r="B1114" t="s">
        <v>304</v>
      </c>
      <c r="C1114" s="3">
        <v>130</v>
      </c>
      <c r="D1114" t="s">
        <v>53</v>
      </c>
      <c r="E1114">
        <v>539740</v>
      </c>
      <c r="F1114" t="s">
        <v>1562</v>
      </c>
      <c r="H1114" s="4">
        <v>45812</v>
      </c>
      <c r="I1114" t="s">
        <v>1966</v>
      </c>
    </row>
    <row r="1115" spans="1:9" x14ac:dyDescent="0.25">
      <c r="A1115" t="s">
        <v>448</v>
      </c>
      <c r="B1115" t="s">
        <v>304</v>
      </c>
      <c r="C1115" s="3">
        <v>65</v>
      </c>
      <c r="D1115" t="s">
        <v>53</v>
      </c>
      <c r="E1115">
        <v>539770</v>
      </c>
      <c r="F1115" t="s">
        <v>1562</v>
      </c>
      <c r="H1115" s="4">
        <v>45813</v>
      </c>
      <c r="I1115" t="s">
        <v>1966</v>
      </c>
    </row>
    <row r="1116" spans="1:9" x14ac:dyDescent="0.25">
      <c r="A1116" t="s">
        <v>447</v>
      </c>
      <c r="B1116" t="s">
        <v>304</v>
      </c>
      <c r="C1116" s="3">
        <v>65</v>
      </c>
      <c r="D1116" t="s">
        <v>53</v>
      </c>
      <c r="E1116">
        <v>539771</v>
      </c>
      <c r="F1116" t="s">
        <v>1562</v>
      </c>
      <c r="H1116" s="4">
        <v>45813</v>
      </c>
      <c r="I1116" t="s">
        <v>1966</v>
      </c>
    </row>
    <row r="1117" spans="1:9" x14ac:dyDescent="0.25">
      <c r="A1117" t="s">
        <v>189</v>
      </c>
      <c r="B1117" t="s">
        <v>304</v>
      </c>
      <c r="C1117" s="3">
        <v>50</v>
      </c>
      <c r="D1117" t="s">
        <v>53</v>
      </c>
      <c r="E1117">
        <v>539758</v>
      </c>
      <c r="F1117" t="s">
        <v>1562</v>
      </c>
      <c r="G1117" t="s">
        <v>1728</v>
      </c>
      <c r="H1117" s="4">
        <v>45813</v>
      </c>
      <c r="I1117" t="s">
        <v>1966</v>
      </c>
    </row>
    <row r="1118" spans="1:9" x14ac:dyDescent="0.25">
      <c r="A1118" t="s">
        <v>460</v>
      </c>
      <c r="B1118" t="s">
        <v>304</v>
      </c>
      <c r="C1118" s="3">
        <v>50</v>
      </c>
      <c r="D1118" t="s">
        <v>53</v>
      </c>
      <c r="E1118">
        <v>539759</v>
      </c>
      <c r="F1118" t="s">
        <v>1562</v>
      </c>
      <c r="G1118" t="s">
        <v>1728</v>
      </c>
      <c r="H1118" s="4">
        <v>45813</v>
      </c>
      <c r="I1118" t="s">
        <v>1966</v>
      </c>
    </row>
    <row r="1119" spans="1:9" x14ac:dyDescent="0.25">
      <c r="A1119" t="s">
        <v>459</v>
      </c>
      <c r="B1119" t="s">
        <v>304</v>
      </c>
      <c r="C1119" s="3">
        <v>100</v>
      </c>
      <c r="D1119" t="s">
        <v>53</v>
      </c>
      <c r="E1119">
        <v>539760</v>
      </c>
      <c r="F1119" t="s">
        <v>1562</v>
      </c>
      <c r="G1119" t="s">
        <v>1728</v>
      </c>
      <c r="H1119" s="4">
        <v>45813</v>
      </c>
      <c r="I1119" t="s">
        <v>1966</v>
      </c>
    </row>
    <row r="1120" spans="1:9" x14ac:dyDescent="0.25">
      <c r="A1120" t="s">
        <v>458</v>
      </c>
      <c r="B1120" t="s">
        <v>304</v>
      </c>
      <c r="C1120" s="3">
        <v>50</v>
      </c>
      <c r="D1120" t="s">
        <v>53</v>
      </c>
      <c r="E1120">
        <v>539761</v>
      </c>
      <c r="F1120" t="s">
        <v>1562</v>
      </c>
      <c r="G1120" t="s">
        <v>1724</v>
      </c>
      <c r="H1120" s="4">
        <v>45813</v>
      </c>
      <c r="I1120" t="s">
        <v>1966</v>
      </c>
    </row>
    <row r="1121" spans="1:9" x14ac:dyDescent="0.25">
      <c r="A1121" t="s">
        <v>457</v>
      </c>
      <c r="B1121" t="s">
        <v>304</v>
      </c>
      <c r="C1121" s="3">
        <v>100</v>
      </c>
      <c r="D1121" t="s">
        <v>53</v>
      </c>
      <c r="E1121">
        <v>539762</v>
      </c>
      <c r="F1121" t="s">
        <v>1562</v>
      </c>
      <c r="G1121" t="s">
        <v>1733</v>
      </c>
      <c r="H1121" s="4">
        <v>45813</v>
      </c>
      <c r="I1121" t="s">
        <v>1966</v>
      </c>
    </row>
    <row r="1122" spans="1:9" x14ac:dyDescent="0.25">
      <c r="A1122" t="s">
        <v>13</v>
      </c>
      <c r="B1122" t="s">
        <v>304</v>
      </c>
      <c r="C1122" s="3">
        <v>50</v>
      </c>
      <c r="D1122" t="s">
        <v>53</v>
      </c>
      <c r="E1122">
        <v>539763</v>
      </c>
      <c r="F1122" t="s">
        <v>1562</v>
      </c>
      <c r="G1122" t="s">
        <v>1728</v>
      </c>
      <c r="H1122" s="4">
        <v>45813</v>
      </c>
      <c r="I1122" t="s">
        <v>1966</v>
      </c>
    </row>
    <row r="1123" spans="1:9" x14ac:dyDescent="0.25">
      <c r="A1123" t="s">
        <v>456</v>
      </c>
      <c r="B1123" t="s">
        <v>304</v>
      </c>
      <c r="C1123" s="3">
        <v>100</v>
      </c>
      <c r="D1123" t="s">
        <v>53</v>
      </c>
      <c r="E1123">
        <v>539764</v>
      </c>
      <c r="F1123" t="s">
        <v>1562</v>
      </c>
      <c r="G1123" t="s">
        <v>1733</v>
      </c>
      <c r="H1123" s="4">
        <v>45813</v>
      </c>
      <c r="I1123" t="s">
        <v>1966</v>
      </c>
    </row>
    <row r="1124" spans="1:9" x14ac:dyDescent="0.25">
      <c r="A1124" t="s">
        <v>455</v>
      </c>
      <c r="B1124" t="s">
        <v>304</v>
      </c>
      <c r="C1124" s="3">
        <v>100</v>
      </c>
      <c r="D1124" t="s">
        <v>53</v>
      </c>
      <c r="E1124">
        <v>539765</v>
      </c>
      <c r="F1124" t="s">
        <v>1562</v>
      </c>
      <c r="G1124" t="s">
        <v>1713</v>
      </c>
      <c r="H1124" s="4">
        <v>45813</v>
      </c>
      <c r="I1124" t="s">
        <v>1966</v>
      </c>
    </row>
    <row r="1125" spans="1:9" x14ac:dyDescent="0.25">
      <c r="A1125" t="s">
        <v>454</v>
      </c>
      <c r="B1125" t="s">
        <v>304</v>
      </c>
      <c r="C1125" s="3">
        <v>50</v>
      </c>
      <c r="D1125" t="s">
        <v>53</v>
      </c>
      <c r="E1125">
        <v>539766</v>
      </c>
      <c r="F1125" t="s">
        <v>1562</v>
      </c>
      <c r="G1125" t="s">
        <v>1735</v>
      </c>
      <c r="H1125" s="4">
        <v>45813</v>
      </c>
      <c r="I1125" t="s">
        <v>1966</v>
      </c>
    </row>
    <row r="1126" spans="1:9" x14ac:dyDescent="0.25">
      <c r="A1126" t="s">
        <v>453</v>
      </c>
      <c r="B1126" t="s">
        <v>304</v>
      </c>
      <c r="C1126" s="3">
        <v>20</v>
      </c>
      <c r="D1126" t="s">
        <v>53</v>
      </c>
      <c r="E1126">
        <v>539767</v>
      </c>
      <c r="F1126" t="s">
        <v>1562</v>
      </c>
      <c r="G1126" t="s">
        <v>1733</v>
      </c>
      <c r="H1126" s="4">
        <v>45813</v>
      </c>
      <c r="I1126" t="s">
        <v>1966</v>
      </c>
    </row>
    <row r="1127" spans="1:9" x14ac:dyDescent="0.25">
      <c r="A1127" t="s">
        <v>452</v>
      </c>
      <c r="B1127" t="s">
        <v>304</v>
      </c>
      <c r="C1127" s="3">
        <v>50</v>
      </c>
      <c r="D1127" t="s">
        <v>53</v>
      </c>
      <c r="E1127">
        <v>539768</v>
      </c>
      <c r="F1127" t="s">
        <v>1562</v>
      </c>
      <c r="G1127" t="s">
        <v>1690</v>
      </c>
      <c r="H1127" s="4">
        <v>45813</v>
      </c>
      <c r="I1127" t="s">
        <v>1966</v>
      </c>
    </row>
    <row r="1128" spans="1:9" x14ac:dyDescent="0.25">
      <c r="A1128" t="s">
        <v>1024</v>
      </c>
      <c r="B1128" t="s">
        <v>304</v>
      </c>
      <c r="C1128" s="3">
        <v>2000</v>
      </c>
      <c r="D1128" t="s">
        <v>53</v>
      </c>
      <c r="E1128">
        <v>538094</v>
      </c>
      <c r="F1128" t="s">
        <v>1562</v>
      </c>
      <c r="G1128" t="s">
        <v>1736</v>
      </c>
      <c r="H1128" s="4">
        <v>45813</v>
      </c>
      <c r="I1128" t="s">
        <v>1966</v>
      </c>
    </row>
    <row r="1129" spans="1:9" x14ac:dyDescent="0.25">
      <c r="A1129" t="s">
        <v>1025</v>
      </c>
      <c r="B1129" t="s">
        <v>304</v>
      </c>
      <c r="C1129" s="3">
        <v>50</v>
      </c>
      <c r="D1129" t="s">
        <v>53</v>
      </c>
      <c r="E1129">
        <v>538100</v>
      </c>
      <c r="F1129" t="s">
        <v>1562</v>
      </c>
      <c r="H1129" s="4">
        <v>45813</v>
      </c>
      <c r="I1129" t="s">
        <v>1966</v>
      </c>
    </row>
    <row r="1130" spans="1:9" x14ac:dyDescent="0.25">
      <c r="A1130" t="s">
        <v>1026</v>
      </c>
      <c r="B1130" t="s">
        <v>304</v>
      </c>
      <c r="C1130" s="3">
        <v>7500</v>
      </c>
      <c r="D1130" t="s">
        <v>53</v>
      </c>
      <c r="E1130">
        <v>538122</v>
      </c>
      <c r="F1130" t="s">
        <v>1562</v>
      </c>
      <c r="G1130" t="s">
        <v>1737</v>
      </c>
      <c r="H1130" s="4">
        <v>45814</v>
      </c>
      <c r="I1130" t="s">
        <v>1966</v>
      </c>
    </row>
    <row r="1131" spans="1:9" x14ac:dyDescent="0.25">
      <c r="A1131" t="s">
        <v>490</v>
      </c>
      <c r="B1131" t="s">
        <v>304</v>
      </c>
      <c r="C1131" s="3">
        <v>100</v>
      </c>
      <c r="D1131" t="s">
        <v>53</v>
      </c>
      <c r="E1131">
        <v>539777</v>
      </c>
      <c r="F1131" t="s">
        <v>1562</v>
      </c>
      <c r="G1131" t="s">
        <v>1712</v>
      </c>
      <c r="H1131" s="4">
        <v>45814</v>
      </c>
      <c r="I1131" t="s">
        <v>1966</v>
      </c>
    </row>
    <row r="1132" spans="1:9" x14ac:dyDescent="0.25">
      <c r="A1132" t="s">
        <v>489</v>
      </c>
      <c r="B1132" t="s">
        <v>304</v>
      </c>
      <c r="C1132" s="3">
        <v>50</v>
      </c>
      <c r="D1132" t="s">
        <v>53</v>
      </c>
      <c r="E1132">
        <v>539778</v>
      </c>
      <c r="F1132" t="s">
        <v>1562</v>
      </c>
      <c r="G1132" t="s">
        <v>1713</v>
      </c>
      <c r="H1132" s="4">
        <v>45814</v>
      </c>
      <c r="I1132" t="s">
        <v>1966</v>
      </c>
    </row>
    <row r="1133" spans="1:9" x14ac:dyDescent="0.25">
      <c r="A1133" t="s">
        <v>488</v>
      </c>
      <c r="B1133" t="s">
        <v>304</v>
      </c>
      <c r="C1133" s="3">
        <v>50</v>
      </c>
      <c r="D1133" t="s">
        <v>53</v>
      </c>
      <c r="E1133">
        <v>539779</v>
      </c>
      <c r="F1133" t="s">
        <v>1562</v>
      </c>
      <c r="G1133" t="s">
        <v>1690</v>
      </c>
      <c r="H1133" s="4">
        <v>45814</v>
      </c>
      <c r="I1133" t="s">
        <v>1966</v>
      </c>
    </row>
    <row r="1134" spans="1:9" x14ac:dyDescent="0.25">
      <c r="A1134" t="s">
        <v>487</v>
      </c>
      <c r="B1134" t="s">
        <v>304</v>
      </c>
      <c r="C1134" s="3">
        <v>50</v>
      </c>
      <c r="D1134" t="s">
        <v>53</v>
      </c>
      <c r="E1134">
        <v>539780</v>
      </c>
      <c r="F1134" t="s">
        <v>1562</v>
      </c>
      <c r="G1134" t="s">
        <v>1738</v>
      </c>
      <c r="H1134" s="4">
        <v>45814</v>
      </c>
      <c r="I1134" t="s">
        <v>1966</v>
      </c>
    </row>
    <row r="1135" spans="1:9" x14ac:dyDescent="0.25">
      <c r="A1135" t="s">
        <v>486</v>
      </c>
      <c r="B1135" t="s">
        <v>304</v>
      </c>
      <c r="C1135" s="3">
        <v>50</v>
      </c>
      <c r="D1135" t="s">
        <v>53</v>
      </c>
      <c r="E1135">
        <v>539781</v>
      </c>
      <c r="F1135" t="s">
        <v>1562</v>
      </c>
      <c r="G1135" t="s">
        <v>1733</v>
      </c>
      <c r="H1135" s="4">
        <v>45814</v>
      </c>
      <c r="I1135" t="s">
        <v>1966</v>
      </c>
    </row>
    <row r="1136" spans="1:9" x14ac:dyDescent="0.25">
      <c r="A1136" t="s">
        <v>485</v>
      </c>
      <c r="B1136" t="s">
        <v>304</v>
      </c>
      <c r="C1136" s="3">
        <v>65</v>
      </c>
      <c r="D1136" t="s">
        <v>53</v>
      </c>
      <c r="E1136">
        <v>539782</v>
      </c>
      <c r="F1136" t="s">
        <v>1562</v>
      </c>
      <c r="H1136" s="4">
        <v>45814</v>
      </c>
      <c r="I1136" t="s">
        <v>1966</v>
      </c>
    </row>
    <row r="1137" spans="1:9" x14ac:dyDescent="0.25">
      <c r="A1137" t="s">
        <v>484</v>
      </c>
      <c r="B1137" t="s">
        <v>304</v>
      </c>
      <c r="C1137" s="3">
        <v>65</v>
      </c>
      <c r="D1137" t="s">
        <v>53</v>
      </c>
      <c r="E1137">
        <v>539783</v>
      </c>
      <c r="F1137" t="s">
        <v>1562</v>
      </c>
      <c r="H1137" s="4">
        <v>45814</v>
      </c>
      <c r="I1137" t="s">
        <v>1966</v>
      </c>
    </row>
    <row r="1138" spans="1:9" x14ac:dyDescent="0.25">
      <c r="A1138" t="s">
        <v>483</v>
      </c>
      <c r="B1138" t="s">
        <v>304</v>
      </c>
      <c r="C1138" s="3">
        <v>65</v>
      </c>
      <c r="D1138" t="s">
        <v>53</v>
      </c>
      <c r="E1138">
        <v>539784</v>
      </c>
      <c r="F1138" t="s">
        <v>1562</v>
      </c>
      <c r="H1138" s="4">
        <v>45814</v>
      </c>
      <c r="I1138" t="s">
        <v>1966</v>
      </c>
    </row>
    <row r="1139" spans="1:9" x14ac:dyDescent="0.25">
      <c r="A1139" t="s">
        <v>497</v>
      </c>
      <c r="B1139" t="s">
        <v>304</v>
      </c>
      <c r="C1139" s="3">
        <v>50</v>
      </c>
      <c r="D1139" t="s">
        <v>53</v>
      </c>
      <c r="E1139">
        <v>539787</v>
      </c>
      <c r="F1139" t="s">
        <v>1562</v>
      </c>
      <c r="G1139" t="s">
        <v>1728</v>
      </c>
      <c r="H1139" s="4">
        <v>45815</v>
      </c>
      <c r="I1139" t="s">
        <v>1966</v>
      </c>
    </row>
    <row r="1140" spans="1:9" x14ac:dyDescent="0.25">
      <c r="A1140" t="s">
        <v>496</v>
      </c>
      <c r="B1140" t="s">
        <v>304</v>
      </c>
      <c r="C1140" s="3">
        <v>20</v>
      </c>
      <c r="D1140" t="s">
        <v>53</v>
      </c>
      <c r="E1140">
        <v>539788</v>
      </c>
      <c r="F1140" t="s">
        <v>1562</v>
      </c>
      <c r="G1140" t="s">
        <v>1730</v>
      </c>
      <c r="H1140" s="4">
        <v>45815</v>
      </c>
      <c r="I1140" t="s">
        <v>1966</v>
      </c>
    </row>
    <row r="1141" spans="1:9" x14ac:dyDescent="0.25">
      <c r="A1141" t="s">
        <v>495</v>
      </c>
      <c r="B1141" t="s">
        <v>304</v>
      </c>
      <c r="C1141" s="3">
        <v>200</v>
      </c>
      <c r="D1141" t="s">
        <v>53</v>
      </c>
      <c r="E1141">
        <v>539789</v>
      </c>
      <c r="F1141" t="s">
        <v>1562</v>
      </c>
      <c r="G1141" t="s">
        <v>1728</v>
      </c>
      <c r="H1141" s="4">
        <v>45815</v>
      </c>
      <c r="I1141" t="s">
        <v>1966</v>
      </c>
    </row>
    <row r="1142" spans="1:9" x14ac:dyDescent="0.25">
      <c r="A1142" t="s">
        <v>494</v>
      </c>
      <c r="B1142" t="s">
        <v>304</v>
      </c>
      <c r="C1142" s="3">
        <v>100</v>
      </c>
      <c r="D1142" t="s">
        <v>53</v>
      </c>
      <c r="E1142">
        <v>539790</v>
      </c>
      <c r="F1142" t="s">
        <v>1562</v>
      </c>
      <c r="G1142" t="s">
        <v>1733</v>
      </c>
      <c r="H1142" s="4">
        <v>45815</v>
      </c>
      <c r="I1142" t="s">
        <v>1966</v>
      </c>
    </row>
    <row r="1143" spans="1:9" x14ac:dyDescent="0.25">
      <c r="A1143" t="s">
        <v>493</v>
      </c>
      <c r="B1143" t="s">
        <v>304</v>
      </c>
      <c r="C1143" s="3">
        <v>50</v>
      </c>
      <c r="D1143" t="s">
        <v>53</v>
      </c>
      <c r="E1143">
        <v>539791</v>
      </c>
      <c r="F1143" t="s">
        <v>1562</v>
      </c>
      <c r="G1143" t="s">
        <v>1713</v>
      </c>
      <c r="H1143" s="4">
        <v>45815</v>
      </c>
      <c r="I1143" t="s">
        <v>1966</v>
      </c>
    </row>
    <row r="1144" spans="1:9" x14ac:dyDescent="0.25">
      <c r="A1144" t="s">
        <v>492</v>
      </c>
      <c r="B1144" t="s">
        <v>304</v>
      </c>
      <c r="C1144" s="3">
        <v>100</v>
      </c>
      <c r="D1144" t="s">
        <v>53</v>
      </c>
      <c r="E1144">
        <v>539792</v>
      </c>
      <c r="F1144" t="s">
        <v>1562</v>
      </c>
      <c r="G1144" t="s">
        <v>1728</v>
      </c>
      <c r="H1144" s="4">
        <v>45815</v>
      </c>
      <c r="I1144" t="s">
        <v>1966</v>
      </c>
    </row>
    <row r="1145" spans="1:9" x14ac:dyDescent="0.25">
      <c r="A1145" t="s">
        <v>1019</v>
      </c>
      <c r="B1145" t="s">
        <v>304</v>
      </c>
      <c r="C1145" s="3">
        <v>300</v>
      </c>
      <c r="D1145" t="s">
        <v>53</v>
      </c>
      <c r="E1145">
        <v>538147</v>
      </c>
      <c r="F1145" t="s">
        <v>1562</v>
      </c>
      <c r="H1145" s="4">
        <v>45817</v>
      </c>
      <c r="I1145" t="s">
        <v>1966</v>
      </c>
    </row>
    <row r="1146" spans="1:9" x14ac:dyDescent="0.25">
      <c r="A1146" t="s">
        <v>1020</v>
      </c>
      <c r="B1146" t="s">
        <v>304</v>
      </c>
      <c r="C1146" s="3">
        <v>300</v>
      </c>
      <c r="D1146" t="s">
        <v>53</v>
      </c>
      <c r="E1146">
        <v>538164</v>
      </c>
      <c r="F1146" t="s">
        <v>1562</v>
      </c>
      <c r="H1146" s="4">
        <v>45818</v>
      </c>
      <c r="I1146" t="s">
        <v>1966</v>
      </c>
    </row>
    <row r="1147" spans="1:9" x14ac:dyDescent="0.25">
      <c r="A1147" t="s">
        <v>1021</v>
      </c>
      <c r="B1147" t="s">
        <v>304</v>
      </c>
      <c r="C1147" s="3">
        <v>300</v>
      </c>
      <c r="D1147" t="s">
        <v>53</v>
      </c>
      <c r="E1147">
        <v>538170</v>
      </c>
      <c r="F1147" t="s">
        <v>1562</v>
      </c>
      <c r="H1147" s="4">
        <v>45818</v>
      </c>
      <c r="I1147" t="s">
        <v>1966</v>
      </c>
    </row>
    <row r="1148" spans="1:9" x14ac:dyDescent="0.25">
      <c r="A1148" t="s">
        <v>470</v>
      </c>
      <c r="B1148" t="s">
        <v>304</v>
      </c>
      <c r="C1148" s="3">
        <v>100</v>
      </c>
      <c r="D1148" t="s">
        <v>53</v>
      </c>
      <c r="E1148">
        <v>539799</v>
      </c>
      <c r="F1148" t="s">
        <v>1562</v>
      </c>
      <c r="G1148" t="s">
        <v>1739</v>
      </c>
      <c r="H1148" s="4">
        <v>45818</v>
      </c>
      <c r="I1148" t="s">
        <v>1966</v>
      </c>
    </row>
    <row r="1149" spans="1:9" x14ac:dyDescent="0.25">
      <c r="A1149" t="s">
        <v>469</v>
      </c>
      <c r="B1149" t="s">
        <v>304</v>
      </c>
      <c r="C1149" s="3">
        <v>250</v>
      </c>
      <c r="D1149" t="s">
        <v>53</v>
      </c>
      <c r="E1149">
        <v>539800</v>
      </c>
      <c r="F1149" t="s">
        <v>1562</v>
      </c>
      <c r="G1149" t="s">
        <v>1728</v>
      </c>
      <c r="H1149" s="4">
        <v>45818</v>
      </c>
      <c r="I1149" t="s">
        <v>1966</v>
      </c>
    </row>
    <row r="1150" spans="1:9" x14ac:dyDescent="0.25">
      <c r="A1150" t="s">
        <v>468</v>
      </c>
      <c r="B1150" t="s">
        <v>304</v>
      </c>
      <c r="C1150" s="3">
        <v>500</v>
      </c>
      <c r="D1150" t="s">
        <v>53</v>
      </c>
      <c r="E1150">
        <v>539801</v>
      </c>
      <c r="F1150" t="s">
        <v>1562</v>
      </c>
      <c r="G1150" t="s">
        <v>1690</v>
      </c>
      <c r="H1150" s="4">
        <v>45818</v>
      </c>
      <c r="I1150" t="s">
        <v>1966</v>
      </c>
    </row>
    <row r="1151" spans="1:9" x14ac:dyDescent="0.25">
      <c r="A1151" t="s">
        <v>467</v>
      </c>
      <c r="B1151" t="s">
        <v>304</v>
      </c>
      <c r="C1151" s="3">
        <v>25</v>
      </c>
      <c r="D1151" t="s">
        <v>53</v>
      </c>
      <c r="E1151">
        <v>539802</v>
      </c>
      <c r="F1151" t="s">
        <v>1562</v>
      </c>
      <c r="G1151" t="s">
        <v>1733</v>
      </c>
      <c r="H1151" s="4">
        <v>45818</v>
      </c>
      <c r="I1151" t="s">
        <v>1966</v>
      </c>
    </row>
    <row r="1152" spans="1:9" x14ac:dyDescent="0.25">
      <c r="A1152" t="s">
        <v>466</v>
      </c>
      <c r="B1152" t="s">
        <v>304</v>
      </c>
      <c r="C1152" s="3">
        <v>200</v>
      </c>
      <c r="D1152" t="s">
        <v>53</v>
      </c>
      <c r="E1152">
        <v>539803</v>
      </c>
      <c r="F1152" t="s">
        <v>1562</v>
      </c>
      <c r="G1152" t="s">
        <v>1728</v>
      </c>
      <c r="H1152" s="4">
        <v>45818</v>
      </c>
      <c r="I1152" t="s">
        <v>1966</v>
      </c>
    </row>
    <row r="1153" spans="1:9" x14ac:dyDescent="0.25">
      <c r="A1153" t="s">
        <v>465</v>
      </c>
      <c r="B1153" t="s">
        <v>304</v>
      </c>
      <c r="C1153" s="3">
        <v>50</v>
      </c>
      <c r="D1153" t="s">
        <v>53</v>
      </c>
      <c r="E1153">
        <v>539804</v>
      </c>
      <c r="F1153" t="s">
        <v>1562</v>
      </c>
      <c r="G1153" t="s">
        <v>1728</v>
      </c>
      <c r="H1153" s="4">
        <v>45818</v>
      </c>
      <c r="I1153" t="s">
        <v>1966</v>
      </c>
    </row>
    <row r="1154" spans="1:9" x14ac:dyDescent="0.25">
      <c r="A1154" t="s">
        <v>464</v>
      </c>
      <c r="B1154" t="s">
        <v>304</v>
      </c>
      <c r="C1154" s="3">
        <v>75</v>
      </c>
      <c r="D1154" t="s">
        <v>53</v>
      </c>
      <c r="E1154">
        <v>539805</v>
      </c>
      <c r="F1154" t="s">
        <v>1562</v>
      </c>
      <c r="G1154" t="s">
        <v>1728</v>
      </c>
      <c r="H1154" s="4">
        <v>45818</v>
      </c>
      <c r="I1154" t="s">
        <v>1966</v>
      </c>
    </row>
    <row r="1155" spans="1:9" x14ac:dyDescent="0.25">
      <c r="A1155" t="s">
        <v>463</v>
      </c>
      <c r="B1155" t="s">
        <v>304</v>
      </c>
      <c r="C1155" s="3">
        <v>25</v>
      </c>
      <c r="D1155" t="s">
        <v>53</v>
      </c>
      <c r="E1155">
        <v>539806</v>
      </c>
      <c r="F1155" t="s">
        <v>1562</v>
      </c>
      <c r="G1155" t="s">
        <v>1728</v>
      </c>
      <c r="H1155" s="4">
        <v>45818</v>
      </c>
      <c r="I1155" t="s">
        <v>1966</v>
      </c>
    </row>
    <row r="1156" spans="1:9" x14ac:dyDescent="0.25">
      <c r="A1156" t="s">
        <v>462</v>
      </c>
      <c r="B1156" t="s">
        <v>304</v>
      </c>
      <c r="C1156" s="3">
        <v>50</v>
      </c>
      <c r="D1156" t="s">
        <v>53</v>
      </c>
      <c r="E1156">
        <v>539807</v>
      </c>
      <c r="F1156" t="s">
        <v>1562</v>
      </c>
      <c r="G1156" t="s">
        <v>1728</v>
      </c>
      <c r="H1156" s="4">
        <v>45818</v>
      </c>
      <c r="I1156" t="s">
        <v>1966</v>
      </c>
    </row>
    <row r="1157" spans="1:9" x14ac:dyDescent="0.25">
      <c r="A1157" t="s">
        <v>461</v>
      </c>
      <c r="B1157" t="s">
        <v>304</v>
      </c>
      <c r="C1157" s="3">
        <v>65</v>
      </c>
      <c r="D1157" t="s">
        <v>53</v>
      </c>
      <c r="E1157">
        <v>539808</v>
      </c>
      <c r="F1157" t="s">
        <v>1562</v>
      </c>
      <c r="H1157" s="4">
        <v>45819</v>
      </c>
      <c r="I1157" t="s">
        <v>1966</v>
      </c>
    </row>
    <row r="1158" spans="1:9" x14ac:dyDescent="0.25">
      <c r="A1158" t="s">
        <v>482</v>
      </c>
      <c r="B1158" t="s">
        <v>304</v>
      </c>
      <c r="C1158" s="3">
        <v>65</v>
      </c>
      <c r="D1158" t="s">
        <v>53</v>
      </c>
      <c r="E1158">
        <v>539813</v>
      </c>
      <c r="F1158" t="s">
        <v>1562</v>
      </c>
      <c r="H1158" s="4">
        <v>45819</v>
      </c>
      <c r="I1158" t="s">
        <v>1966</v>
      </c>
    </row>
    <row r="1159" spans="1:9" x14ac:dyDescent="0.25">
      <c r="A1159" t="s">
        <v>481</v>
      </c>
      <c r="B1159" t="s">
        <v>304</v>
      </c>
      <c r="C1159" s="3">
        <v>100</v>
      </c>
      <c r="D1159" t="s">
        <v>53</v>
      </c>
      <c r="E1159">
        <v>539814</v>
      </c>
      <c r="F1159" t="s">
        <v>1562</v>
      </c>
      <c r="G1159" t="s">
        <v>1730</v>
      </c>
      <c r="H1159" s="4">
        <v>45819</v>
      </c>
      <c r="I1159" t="s">
        <v>1966</v>
      </c>
    </row>
    <row r="1160" spans="1:9" x14ac:dyDescent="0.25">
      <c r="A1160" t="s">
        <v>480</v>
      </c>
      <c r="B1160" t="s">
        <v>304</v>
      </c>
      <c r="C1160" s="3">
        <v>100</v>
      </c>
      <c r="D1160" t="s">
        <v>53</v>
      </c>
      <c r="E1160">
        <v>539815</v>
      </c>
      <c r="F1160" t="s">
        <v>1562</v>
      </c>
      <c r="G1160" t="s">
        <v>1713</v>
      </c>
      <c r="H1160" s="4">
        <v>45819</v>
      </c>
      <c r="I1160" t="s">
        <v>1966</v>
      </c>
    </row>
    <row r="1161" spans="1:9" x14ac:dyDescent="0.25">
      <c r="A1161" t="s">
        <v>479</v>
      </c>
      <c r="B1161" t="s">
        <v>304</v>
      </c>
      <c r="C1161" s="3">
        <v>20</v>
      </c>
      <c r="D1161" t="s">
        <v>53</v>
      </c>
      <c r="E1161">
        <v>539816</v>
      </c>
      <c r="F1161" t="s">
        <v>1562</v>
      </c>
      <c r="G1161" t="s">
        <v>1728</v>
      </c>
      <c r="H1161" s="4">
        <v>45819</v>
      </c>
      <c r="I1161" t="s">
        <v>1966</v>
      </c>
    </row>
    <row r="1162" spans="1:9" x14ac:dyDescent="0.25">
      <c r="A1162" t="s">
        <v>478</v>
      </c>
      <c r="B1162" t="s">
        <v>304</v>
      </c>
      <c r="C1162" s="3">
        <v>50</v>
      </c>
      <c r="D1162" t="s">
        <v>53</v>
      </c>
      <c r="E1162">
        <v>539817</v>
      </c>
      <c r="F1162" t="s">
        <v>1562</v>
      </c>
      <c r="G1162" t="s">
        <v>1726</v>
      </c>
      <c r="H1162" s="4">
        <v>45819</v>
      </c>
      <c r="I1162" t="s">
        <v>1966</v>
      </c>
    </row>
    <row r="1163" spans="1:9" x14ac:dyDescent="0.25">
      <c r="A1163" t="s">
        <v>477</v>
      </c>
      <c r="B1163" t="s">
        <v>304</v>
      </c>
      <c r="C1163" s="3">
        <v>25</v>
      </c>
      <c r="D1163" t="s">
        <v>53</v>
      </c>
      <c r="E1163">
        <v>539818</v>
      </c>
      <c r="F1163" t="s">
        <v>1562</v>
      </c>
      <c r="G1163" t="s">
        <v>1728</v>
      </c>
      <c r="H1163" s="4">
        <v>45819</v>
      </c>
      <c r="I1163" t="s">
        <v>1966</v>
      </c>
    </row>
    <row r="1164" spans="1:9" x14ac:dyDescent="0.25">
      <c r="A1164" t="s">
        <v>476</v>
      </c>
      <c r="B1164" t="s">
        <v>304</v>
      </c>
      <c r="C1164" s="3">
        <v>100</v>
      </c>
      <c r="D1164" t="s">
        <v>53</v>
      </c>
      <c r="E1164">
        <v>539819</v>
      </c>
      <c r="F1164" t="s">
        <v>1562</v>
      </c>
      <c r="G1164" t="s">
        <v>1727</v>
      </c>
      <c r="H1164" s="4">
        <v>45819</v>
      </c>
      <c r="I1164" t="s">
        <v>1966</v>
      </c>
    </row>
    <row r="1165" spans="1:9" x14ac:dyDescent="0.25">
      <c r="A1165" t="s">
        <v>475</v>
      </c>
      <c r="B1165" t="s">
        <v>304</v>
      </c>
      <c r="C1165" s="3">
        <v>50</v>
      </c>
      <c r="D1165" t="s">
        <v>53</v>
      </c>
      <c r="E1165">
        <v>539820</v>
      </c>
      <c r="F1165" t="s">
        <v>1562</v>
      </c>
      <c r="G1165" t="s">
        <v>1731</v>
      </c>
      <c r="H1165" s="4">
        <v>45819</v>
      </c>
      <c r="I1165" t="s">
        <v>1966</v>
      </c>
    </row>
    <row r="1166" spans="1:9" x14ac:dyDescent="0.25">
      <c r="A1166" t="s">
        <v>474</v>
      </c>
      <c r="B1166" t="s">
        <v>304</v>
      </c>
      <c r="C1166" s="3">
        <v>50</v>
      </c>
      <c r="D1166" t="s">
        <v>53</v>
      </c>
      <c r="E1166">
        <v>539821</v>
      </c>
      <c r="F1166" t="s">
        <v>1562</v>
      </c>
      <c r="G1166" t="s">
        <v>1731</v>
      </c>
      <c r="H1166" s="4">
        <v>45819</v>
      </c>
      <c r="I1166" t="s">
        <v>1966</v>
      </c>
    </row>
    <row r="1167" spans="1:9" x14ac:dyDescent="0.25">
      <c r="A1167" t="s">
        <v>294</v>
      </c>
      <c r="B1167" t="s">
        <v>304</v>
      </c>
      <c r="C1167" s="3">
        <v>50</v>
      </c>
      <c r="D1167" t="s">
        <v>53</v>
      </c>
      <c r="E1167">
        <v>539822</v>
      </c>
      <c r="F1167" t="s">
        <v>1562</v>
      </c>
      <c r="G1167" t="s">
        <v>1728</v>
      </c>
      <c r="H1167" s="4">
        <v>45819</v>
      </c>
      <c r="I1167" t="s">
        <v>1966</v>
      </c>
    </row>
    <row r="1168" spans="1:9" x14ac:dyDescent="0.25">
      <c r="A1168" t="s">
        <v>473</v>
      </c>
      <c r="B1168" t="s">
        <v>304</v>
      </c>
      <c r="C1168" s="3">
        <v>100</v>
      </c>
      <c r="D1168" t="s">
        <v>53</v>
      </c>
      <c r="E1168">
        <v>539823</v>
      </c>
      <c r="F1168" t="s">
        <v>1562</v>
      </c>
      <c r="G1168" t="s">
        <v>1713</v>
      </c>
      <c r="H1168" s="4">
        <v>45819</v>
      </c>
      <c r="I1168" t="s">
        <v>1966</v>
      </c>
    </row>
    <row r="1169" spans="1:9" x14ac:dyDescent="0.25">
      <c r="A1169" t="s">
        <v>472</v>
      </c>
      <c r="B1169" t="s">
        <v>304</v>
      </c>
      <c r="C1169" s="3">
        <v>50</v>
      </c>
      <c r="D1169" t="s">
        <v>53</v>
      </c>
      <c r="E1169">
        <v>539824</v>
      </c>
      <c r="F1169" t="s">
        <v>1562</v>
      </c>
      <c r="G1169" t="s">
        <v>1727</v>
      </c>
      <c r="H1169" s="4">
        <v>45819</v>
      </c>
      <c r="I1169" t="s">
        <v>1966</v>
      </c>
    </row>
    <row r="1170" spans="1:9" x14ac:dyDescent="0.25">
      <c r="A1170" t="s">
        <v>471</v>
      </c>
      <c r="B1170" t="s">
        <v>304</v>
      </c>
      <c r="C1170" s="3">
        <v>150</v>
      </c>
      <c r="D1170" t="s">
        <v>53</v>
      </c>
      <c r="E1170">
        <v>539825</v>
      </c>
      <c r="F1170" t="s">
        <v>1562</v>
      </c>
      <c r="G1170" t="s">
        <v>1728</v>
      </c>
      <c r="H1170" s="4">
        <v>45819</v>
      </c>
      <c r="I1170" t="s">
        <v>1966</v>
      </c>
    </row>
    <row r="1171" spans="1:9" x14ac:dyDescent="0.25">
      <c r="A1171" t="s">
        <v>524</v>
      </c>
      <c r="B1171" t="s">
        <v>304</v>
      </c>
      <c r="C1171" s="3">
        <v>65</v>
      </c>
      <c r="D1171" t="s">
        <v>53</v>
      </c>
      <c r="E1171">
        <v>539810</v>
      </c>
      <c r="F1171" t="s">
        <v>1562</v>
      </c>
      <c r="H1171" s="4">
        <v>45819</v>
      </c>
      <c r="I1171" t="s">
        <v>1966</v>
      </c>
    </row>
    <row r="1172" spans="1:9" x14ac:dyDescent="0.25">
      <c r="A1172" t="s">
        <v>523</v>
      </c>
      <c r="B1172" t="s">
        <v>304</v>
      </c>
      <c r="C1172" s="3">
        <v>65</v>
      </c>
      <c r="D1172" t="s">
        <v>53</v>
      </c>
      <c r="E1172">
        <v>539811</v>
      </c>
      <c r="F1172" t="s">
        <v>1562</v>
      </c>
      <c r="H1172" s="4">
        <v>45819</v>
      </c>
      <c r="I1172" t="s">
        <v>1966</v>
      </c>
    </row>
    <row r="1173" spans="1:9" x14ac:dyDescent="0.25">
      <c r="A1173" t="s">
        <v>353</v>
      </c>
      <c r="B1173" t="s">
        <v>304</v>
      </c>
      <c r="C1173" s="3">
        <v>65</v>
      </c>
      <c r="D1173" t="s">
        <v>53</v>
      </c>
      <c r="E1173">
        <v>539830</v>
      </c>
      <c r="F1173" t="s">
        <v>1562</v>
      </c>
      <c r="H1173" s="4">
        <v>45820</v>
      </c>
      <c r="I1173" t="s">
        <v>1966</v>
      </c>
    </row>
    <row r="1174" spans="1:9" x14ac:dyDescent="0.25">
      <c r="A1174" t="s">
        <v>352</v>
      </c>
      <c r="B1174" t="s">
        <v>304</v>
      </c>
      <c r="C1174" s="3">
        <v>195</v>
      </c>
      <c r="D1174" t="s">
        <v>53</v>
      </c>
      <c r="E1174">
        <v>539831</v>
      </c>
      <c r="F1174" t="s">
        <v>1562</v>
      </c>
      <c r="H1174" s="4">
        <v>45820</v>
      </c>
      <c r="I1174" t="s">
        <v>1966</v>
      </c>
    </row>
    <row r="1175" spans="1:9" x14ac:dyDescent="0.25">
      <c r="A1175" t="s">
        <v>526</v>
      </c>
      <c r="B1175" t="s">
        <v>304</v>
      </c>
      <c r="C1175" s="3">
        <v>65</v>
      </c>
      <c r="D1175" t="s">
        <v>53</v>
      </c>
      <c r="E1175">
        <v>539827</v>
      </c>
      <c r="F1175" t="s">
        <v>1562</v>
      </c>
      <c r="H1175" s="4">
        <v>45820</v>
      </c>
      <c r="I1175" t="s">
        <v>1966</v>
      </c>
    </row>
    <row r="1176" spans="1:9" x14ac:dyDescent="0.25">
      <c r="A1176" t="s">
        <v>525</v>
      </c>
      <c r="B1176" t="s">
        <v>304</v>
      </c>
      <c r="C1176" s="3">
        <v>65</v>
      </c>
      <c r="D1176" t="s">
        <v>53</v>
      </c>
      <c r="E1176">
        <v>539828</v>
      </c>
      <c r="F1176" t="s">
        <v>1562</v>
      </c>
      <c r="H1176" s="4">
        <v>45820</v>
      </c>
      <c r="I1176" t="s">
        <v>1966</v>
      </c>
    </row>
    <row r="1177" spans="1:9" x14ac:dyDescent="0.25">
      <c r="A1177" t="s">
        <v>522</v>
      </c>
      <c r="B1177" t="s">
        <v>304</v>
      </c>
      <c r="C1177" s="3">
        <v>25</v>
      </c>
      <c r="D1177" t="s">
        <v>53</v>
      </c>
      <c r="E1177">
        <v>539833</v>
      </c>
      <c r="F1177" t="s">
        <v>1562</v>
      </c>
      <c r="G1177" t="s">
        <v>1728</v>
      </c>
      <c r="H1177" s="4">
        <v>45820</v>
      </c>
      <c r="I1177" t="s">
        <v>1966</v>
      </c>
    </row>
    <row r="1178" spans="1:9" x14ac:dyDescent="0.25">
      <c r="A1178" t="s">
        <v>521</v>
      </c>
      <c r="B1178" t="s">
        <v>304</v>
      </c>
      <c r="C1178" s="3">
        <v>25</v>
      </c>
      <c r="D1178" t="s">
        <v>53</v>
      </c>
      <c r="E1178">
        <v>539834</v>
      </c>
      <c r="F1178" t="s">
        <v>1562</v>
      </c>
      <c r="G1178" t="s">
        <v>1730</v>
      </c>
      <c r="H1178" s="4">
        <v>45820</v>
      </c>
      <c r="I1178" t="s">
        <v>1966</v>
      </c>
    </row>
    <row r="1179" spans="1:9" x14ac:dyDescent="0.25">
      <c r="A1179" t="s">
        <v>520</v>
      </c>
      <c r="B1179" t="s">
        <v>304</v>
      </c>
      <c r="C1179" s="3">
        <v>25</v>
      </c>
      <c r="D1179" t="s">
        <v>53</v>
      </c>
      <c r="E1179">
        <v>539835</v>
      </c>
      <c r="F1179" t="s">
        <v>1562</v>
      </c>
      <c r="G1179" t="s">
        <v>1728</v>
      </c>
      <c r="H1179" s="4">
        <v>45820</v>
      </c>
      <c r="I1179" t="s">
        <v>1966</v>
      </c>
    </row>
    <row r="1180" spans="1:9" x14ac:dyDescent="0.25">
      <c r="A1180" t="s">
        <v>519</v>
      </c>
      <c r="B1180" t="s">
        <v>304</v>
      </c>
      <c r="C1180" s="3">
        <v>100</v>
      </c>
      <c r="D1180" t="s">
        <v>53</v>
      </c>
      <c r="E1180">
        <v>539836</v>
      </c>
      <c r="F1180" t="s">
        <v>1562</v>
      </c>
      <c r="G1180" t="s">
        <v>1728</v>
      </c>
      <c r="H1180" s="4">
        <v>45820</v>
      </c>
      <c r="I1180" t="s">
        <v>1966</v>
      </c>
    </row>
    <row r="1181" spans="1:9" x14ac:dyDescent="0.25">
      <c r="A1181" t="s">
        <v>518</v>
      </c>
      <c r="B1181" t="s">
        <v>304</v>
      </c>
      <c r="C1181" s="3">
        <v>10</v>
      </c>
      <c r="D1181" t="s">
        <v>53</v>
      </c>
      <c r="E1181">
        <v>539837</v>
      </c>
      <c r="F1181" t="s">
        <v>1562</v>
      </c>
      <c r="G1181" t="s">
        <v>1728</v>
      </c>
      <c r="H1181" s="4">
        <v>45820</v>
      </c>
      <c r="I1181" t="s">
        <v>1966</v>
      </c>
    </row>
    <row r="1182" spans="1:9" x14ac:dyDescent="0.25">
      <c r="A1182" t="s">
        <v>517</v>
      </c>
      <c r="B1182" t="s">
        <v>304</v>
      </c>
      <c r="C1182" s="3">
        <v>25</v>
      </c>
      <c r="D1182" t="s">
        <v>53</v>
      </c>
      <c r="E1182">
        <v>539838</v>
      </c>
      <c r="F1182" t="s">
        <v>1562</v>
      </c>
      <c r="G1182" t="s">
        <v>1740</v>
      </c>
      <c r="H1182" s="4">
        <v>45820</v>
      </c>
      <c r="I1182" t="s">
        <v>1966</v>
      </c>
    </row>
    <row r="1183" spans="1:9" x14ac:dyDescent="0.25">
      <c r="A1183" t="s">
        <v>516</v>
      </c>
      <c r="B1183" t="s">
        <v>304</v>
      </c>
      <c r="C1183" s="3">
        <v>200</v>
      </c>
      <c r="D1183" t="s">
        <v>53</v>
      </c>
      <c r="E1183">
        <v>539839</v>
      </c>
      <c r="F1183" t="s">
        <v>1562</v>
      </c>
      <c r="G1183" t="s">
        <v>1690</v>
      </c>
      <c r="H1183" s="4">
        <v>45820</v>
      </c>
      <c r="I1183" t="s">
        <v>1966</v>
      </c>
    </row>
    <row r="1184" spans="1:9" x14ac:dyDescent="0.25">
      <c r="A1184" t="s">
        <v>515</v>
      </c>
      <c r="B1184" t="s">
        <v>304</v>
      </c>
      <c r="C1184" s="3">
        <v>50</v>
      </c>
      <c r="D1184" t="s">
        <v>53</v>
      </c>
      <c r="E1184">
        <v>539840</v>
      </c>
      <c r="F1184" t="s">
        <v>1562</v>
      </c>
      <c r="G1184" t="s">
        <v>1740</v>
      </c>
      <c r="H1184" s="4">
        <v>45820</v>
      </c>
      <c r="I1184" t="s">
        <v>1966</v>
      </c>
    </row>
    <row r="1185" spans="1:9" x14ac:dyDescent="0.25">
      <c r="A1185" t="s">
        <v>514</v>
      </c>
      <c r="B1185" t="s">
        <v>304</v>
      </c>
      <c r="C1185" s="3">
        <v>250</v>
      </c>
      <c r="D1185" t="s">
        <v>53</v>
      </c>
      <c r="E1185">
        <v>539841</v>
      </c>
      <c r="F1185" t="s">
        <v>1562</v>
      </c>
      <c r="G1185" t="s">
        <v>1713</v>
      </c>
      <c r="H1185" s="4">
        <v>45820</v>
      </c>
      <c r="I1185" t="s">
        <v>1966</v>
      </c>
    </row>
    <row r="1186" spans="1:9" x14ac:dyDescent="0.25">
      <c r="A1186" t="s">
        <v>513</v>
      </c>
      <c r="B1186" t="s">
        <v>304</v>
      </c>
      <c r="C1186" s="3">
        <v>50</v>
      </c>
      <c r="D1186" t="s">
        <v>53</v>
      </c>
      <c r="E1186">
        <v>539842</v>
      </c>
      <c r="F1186" t="s">
        <v>1562</v>
      </c>
      <c r="G1186" t="s">
        <v>1728</v>
      </c>
      <c r="H1186" s="4">
        <v>45820</v>
      </c>
      <c r="I1186" t="s">
        <v>1966</v>
      </c>
    </row>
    <row r="1187" spans="1:9" x14ac:dyDescent="0.25">
      <c r="A1187" t="s">
        <v>512</v>
      </c>
      <c r="B1187" t="s">
        <v>304</v>
      </c>
      <c r="C1187" s="3">
        <v>50</v>
      </c>
      <c r="D1187" t="s">
        <v>53</v>
      </c>
      <c r="E1187">
        <v>539843</v>
      </c>
      <c r="F1187" t="s">
        <v>1562</v>
      </c>
      <c r="G1187" t="s">
        <v>1740</v>
      </c>
      <c r="H1187" s="4">
        <v>45820</v>
      </c>
      <c r="I1187" t="s">
        <v>1966</v>
      </c>
    </row>
    <row r="1188" spans="1:9" x14ac:dyDescent="0.25">
      <c r="A1188" t="s">
        <v>511</v>
      </c>
      <c r="B1188" t="s">
        <v>304</v>
      </c>
      <c r="C1188" s="3">
        <v>25</v>
      </c>
      <c r="D1188" t="s">
        <v>53</v>
      </c>
      <c r="E1188">
        <v>539844</v>
      </c>
      <c r="F1188" t="s">
        <v>1562</v>
      </c>
      <c r="G1188" t="s">
        <v>1740</v>
      </c>
      <c r="H1188" s="4">
        <v>45820</v>
      </c>
      <c r="I1188" t="s">
        <v>1966</v>
      </c>
    </row>
    <row r="1189" spans="1:9" x14ac:dyDescent="0.25">
      <c r="A1189" t="s">
        <v>1017</v>
      </c>
      <c r="B1189" t="s">
        <v>304</v>
      </c>
      <c r="C1189" s="3">
        <v>100</v>
      </c>
      <c r="D1189" t="s">
        <v>53</v>
      </c>
      <c r="E1189">
        <v>538189</v>
      </c>
      <c r="F1189" t="s">
        <v>1562</v>
      </c>
      <c r="G1189" t="s">
        <v>1742</v>
      </c>
      <c r="H1189" s="4">
        <v>45820</v>
      </c>
      <c r="I1189" t="s">
        <v>1966</v>
      </c>
    </row>
    <row r="1190" spans="1:9" x14ac:dyDescent="0.25">
      <c r="A1190" t="s">
        <v>1016</v>
      </c>
      <c r="B1190" t="s">
        <v>304</v>
      </c>
      <c r="C1190" s="3">
        <v>100</v>
      </c>
      <c r="D1190" t="s">
        <v>53</v>
      </c>
      <c r="E1190">
        <v>538190</v>
      </c>
      <c r="F1190" t="s">
        <v>1562</v>
      </c>
      <c r="G1190" t="s">
        <v>1743</v>
      </c>
      <c r="H1190" s="4">
        <v>45820</v>
      </c>
      <c r="I1190" t="s">
        <v>1966</v>
      </c>
    </row>
    <row r="1191" spans="1:9" x14ac:dyDescent="0.25">
      <c r="A1191" t="s">
        <v>317</v>
      </c>
      <c r="B1191" t="s">
        <v>304</v>
      </c>
      <c r="C1191" s="3">
        <v>55</v>
      </c>
      <c r="D1191" t="s">
        <v>53</v>
      </c>
      <c r="E1191">
        <v>538191</v>
      </c>
      <c r="F1191" t="s">
        <v>1562</v>
      </c>
      <c r="G1191" t="s">
        <v>1690</v>
      </c>
      <c r="H1191" s="4">
        <v>45820</v>
      </c>
      <c r="I1191" t="s">
        <v>1966</v>
      </c>
    </row>
    <row r="1192" spans="1:9" x14ac:dyDescent="0.25">
      <c r="A1192" t="s">
        <v>1015</v>
      </c>
      <c r="B1192" t="s">
        <v>304</v>
      </c>
      <c r="C1192" s="3">
        <v>100</v>
      </c>
      <c r="D1192" t="s">
        <v>53</v>
      </c>
      <c r="E1192">
        <v>538192</v>
      </c>
      <c r="F1192" t="s">
        <v>1562</v>
      </c>
      <c r="G1192" t="s">
        <v>1744</v>
      </c>
      <c r="H1192" s="4">
        <v>45820</v>
      </c>
      <c r="I1192" t="s">
        <v>1966</v>
      </c>
    </row>
    <row r="1193" spans="1:9" x14ac:dyDescent="0.25">
      <c r="A1193" t="s">
        <v>317</v>
      </c>
      <c r="B1193" t="s">
        <v>304</v>
      </c>
      <c r="C1193" s="3">
        <v>130</v>
      </c>
      <c r="D1193" t="s">
        <v>53</v>
      </c>
      <c r="E1193">
        <v>538193</v>
      </c>
      <c r="F1193" t="s">
        <v>1562</v>
      </c>
      <c r="G1193" t="s">
        <v>1745</v>
      </c>
      <c r="H1193" s="4">
        <v>45820</v>
      </c>
      <c r="I1193" t="s">
        <v>1966</v>
      </c>
    </row>
    <row r="1194" spans="1:9" x14ac:dyDescent="0.25">
      <c r="A1194" t="s">
        <v>1014</v>
      </c>
      <c r="B1194" t="s">
        <v>304</v>
      </c>
      <c r="C1194" s="3">
        <v>20</v>
      </c>
      <c r="D1194" t="s">
        <v>53</v>
      </c>
      <c r="E1194">
        <v>538194</v>
      </c>
      <c r="F1194" t="s">
        <v>1562</v>
      </c>
      <c r="G1194" t="s">
        <v>1746</v>
      </c>
      <c r="H1194" s="4">
        <v>45820</v>
      </c>
      <c r="I1194" t="s">
        <v>1966</v>
      </c>
    </row>
    <row r="1195" spans="1:9" x14ac:dyDescent="0.25">
      <c r="A1195" t="s">
        <v>1013</v>
      </c>
      <c r="B1195" t="s">
        <v>304</v>
      </c>
      <c r="C1195" s="3">
        <v>10</v>
      </c>
      <c r="D1195" t="s">
        <v>53</v>
      </c>
      <c r="E1195">
        <v>538195</v>
      </c>
      <c r="F1195" t="s">
        <v>1562</v>
      </c>
      <c r="G1195" t="s">
        <v>1747</v>
      </c>
      <c r="H1195" s="4">
        <v>45820</v>
      </c>
      <c r="I1195" t="s">
        <v>1966</v>
      </c>
    </row>
    <row r="1196" spans="1:9" x14ac:dyDescent="0.25">
      <c r="A1196" t="s">
        <v>1012</v>
      </c>
      <c r="B1196" t="s">
        <v>304</v>
      </c>
      <c r="C1196" s="3">
        <v>5</v>
      </c>
      <c r="D1196" t="s">
        <v>53</v>
      </c>
      <c r="E1196">
        <v>538196</v>
      </c>
      <c r="F1196" t="s">
        <v>1562</v>
      </c>
      <c r="G1196" t="s">
        <v>1748</v>
      </c>
      <c r="H1196" s="4">
        <v>45820</v>
      </c>
      <c r="I1196" t="s">
        <v>1966</v>
      </c>
    </row>
    <row r="1197" spans="1:9" x14ac:dyDescent="0.25">
      <c r="A1197" t="s">
        <v>328</v>
      </c>
      <c r="B1197" t="s">
        <v>304</v>
      </c>
      <c r="C1197" s="3">
        <v>20</v>
      </c>
      <c r="D1197" t="s">
        <v>53</v>
      </c>
      <c r="E1197">
        <v>538197</v>
      </c>
      <c r="F1197" t="s">
        <v>1562</v>
      </c>
      <c r="G1197" t="s">
        <v>1749</v>
      </c>
      <c r="H1197" s="4">
        <v>45820</v>
      </c>
      <c r="I1197" t="s">
        <v>1966</v>
      </c>
    </row>
    <row r="1198" spans="1:9" x14ac:dyDescent="0.25">
      <c r="A1198" t="s">
        <v>1011</v>
      </c>
      <c r="B1198" t="s">
        <v>304</v>
      </c>
      <c r="C1198" s="3">
        <v>5</v>
      </c>
      <c r="D1198" t="s">
        <v>53</v>
      </c>
      <c r="E1198">
        <v>538198</v>
      </c>
      <c r="F1198" t="s">
        <v>1562</v>
      </c>
      <c r="G1198" t="s">
        <v>1750</v>
      </c>
      <c r="H1198" s="4">
        <v>45820</v>
      </c>
      <c r="I1198" t="s">
        <v>1966</v>
      </c>
    </row>
    <row r="1199" spans="1:9" x14ac:dyDescent="0.25">
      <c r="A1199" t="s">
        <v>1010</v>
      </c>
      <c r="B1199" t="s">
        <v>304</v>
      </c>
      <c r="C1199" s="3">
        <v>10</v>
      </c>
      <c r="D1199" t="s">
        <v>53</v>
      </c>
      <c r="E1199">
        <v>538199</v>
      </c>
      <c r="F1199" t="s">
        <v>1562</v>
      </c>
      <c r="G1199" t="s">
        <v>1751</v>
      </c>
      <c r="H1199" s="4">
        <v>45820</v>
      </c>
      <c r="I1199" t="s">
        <v>1966</v>
      </c>
    </row>
    <row r="1200" spans="1:9" x14ac:dyDescent="0.25">
      <c r="A1200" t="s">
        <v>1009</v>
      </c>
      <c r="B1200" t="s">
        <v>304</v>
      </c>
      <c r="C1200" s="3">
        <v>5</v>
      </c>
      <c r="D1200" t="s">
        <v>53</v>
      </c>
      <c r="E1200">
        <v>538200</v>
      </c>
      <c r="F1200" t="s">
        <v>1562</v>
      </c>
      <c r="G1200" t="s">
        <v>1752</v>
      </c>
      <c r="H1200" s="4">
        <v>45820</v>
      </c>
      <c r="I1200" t="s">
        <v>1966</v>
      </c>
    </row>
    <row r="1201" spans="1:9" x14ac:dyDescent="0.25">
      <c r="A1201" t="s">
        <v>1008</v>
      </c>
      <c r="B1201" t="s">
        <v>304</v>
      </c>
      <c r="C1201" s="3">
        <v>5</v>
      </c>
      <c r="D1201" t="s">
        <v>53</v>
      </c>
      <c r="E1201">
        <v>538201</v>
      </c>
      <c r="F1201" t="s">
        <v>1562</v>
      </c>
      <c r="G1201" t="s">
        <v>1753</v>
      </c>
      <c r="H1201" s="4">
        <v>45820</v>
      </c>
      <c r="I1201" t="s">
        <v>1966</v>
      </c>
    </row>
    <row r="1202" spans="1:9" x14ac:dyDescent="0.25">
      <c r="A1202" t="s">
        <v>1007</v>
      </c>
      <c r="B1202" t="s">
        <v>304</v>
      </c>
      <c r="C1202" s="3">
        <v>5</v>
      </c>
      <c r="D1202" t="s">
        <v>53</v>
      </c>
      <c r="E1202">
        <v>538202</v>
      </c>
      <c r="F1202" t="s">
        <v>1562</v>
      </c>
      <c r="G1202" t="s">
        <v>1754</v>
      </c>
      <c r="H1202" s="4">
        <v>45820</v>
      </c>
      <c r="I1202" t="s">
        <v>1966</v>
      </c>
    </row>
    <row r="1203" spans="1:9" x14ac:dyDescent="0.25">
      <c r="A1203" t="s">
        <v>317</v>
      </c>
      <c r="B1203" t="s">
        <v>304</v>
      </c>
      <c r="C1203" s="3">
        <v>55</v>
      </c>
      <c r="D1203" t="s">
        <v>53</v>
      </c>
      <c r="E1203">
        <v>538203</v>
      </c>
      <c r="F1203" t="s">
        <v>1562</v>
      </c>
      <c r="G1203" t="s">
        <v>1755</v>
      </c>
      <c r="H1203" s="4">
        <v>45820</v>
      </c>
      <c r="I1203" t="s">
        <v>1966</v>
      </c>
    </row>
    <row r="1204" spans="1:9" x14ac:dyDescent="0.25">
      <c r="A1204" t="s">
        <v>1006</v>
      </c>
      <c r="B1204" t="s">
        <v>304</v>
      </c>
      <c r="C1204" s="3">
        <v>5</v>
      </c>
      <c r="D1204" t="s">
        <v>53</v>
      </c>
      <c r="E1204">
        <v>538204</v>
      </c>
      <c r="F1204" t="s">
        <v>1562</v>
      </c>
      <c r="G1204" t="s">
        <v>1756</v>
      </c>
      <c r="H1204" s="4">
        <v>45820</v>
      </c>
      <c r="I1204" t="s">
        <v>1966</v>
      </c>
    </row>
    <row r="1205" spans="1:9" x14ac:dyDescent="0.25">
      <c r="A1205" t="s">
        <v>1005</v>
      </c>
      <c r="B1205" t="s">
        <v>304</v>
      </c>
      <c r="C1205" s="3">
        <v>5</v>
      </c>
      <c r="D1205" t="s">
        <v>53</v>
      </c>
      <c r="E1205">
        <v>538205</v>
      </c>
      <c r="F1205" t="s">
        <v>1562</v>
      </c>
      <c r="G1205" t="s">
        <v>1757</v>
      </c>
      <c r="H1205" s="4">
        <v>45820</v>
      </c>
      <c r="I1205" t="s">
        <v>1966</v>
      </c>
    </row>
    <row r="1206" spans="1:9" x14ac:dyDescent="0.25">
      <c r="A1206" t="s">
        <v>1004</v>
      </c>
      <c r="B1206" t="s">
        <v>304</v>
      </c>
      <c r="C1206" s="3">
        <v>20</v>
      </c>
      <c r="D1206" t="s">
        <v>53</v>
      </c>
      <c r="E1206">
        <v>538206</v>
      </c>
      <c r="F1206" t="s">
        <v>1562</v>
      </c>
      <c r="G1206" t="s">
        <v>1758</v>
      </c>
      <c r="H1206" s="4">
        <v>45820</v>
      </c>
      <c r="I1206" t="s">
        <v>1966</v>
      </c>
    </row>
    <row r="1207" spans="1:9" x14ac:dyDescent="0.25">
      <c r="A1207" t="s">
        <v>1003</v>
      </c>
      <c r="B1207" t="s">
        <v>304</v>
      </c>
      <c r="C1207" s="3">
        <v>20</v>
      </c>
      <c r="D1207" t="s">
        <v>53</v>
      </c>
      <c r="E1207">
        <v>538207</v>
      </c>
      <c r="F1207" t="s">
        <v>1562</v>
      </c>
      <c r="G1207" t="s">
        <v>1759</v>
      </c>
      <c r="H1207" s="4">
        <v>45820</v>
      </c>
      <c r="I1207" t="s">
        <v>1966</v>
      </c>
    </row>
    <row r="1208" spans="1:9" x14ac:dyDescent="0.25">
      <c r="A1208" t="s">
        <v>1002</v>
      </c>
      <c r="B1208" t="s">
        <v>304</v>
      </c>
      <c r="C1208" s="3">
        <v>5</v>
      </c>
      <c r="D1208" t="s">
        <v>53</v>
      </c>
      <c r="E1208">
        <v>538208</v>
      </c>
      <c r="F1208" t="s">
        <v>1562</v>
      </c>
      <c r="G1208" t="s">
        <v>1760</v>
      </c>
      <c r="H1208" s="4">
        <v>45820</v>
      </c>
      <c r="I1208" t="s">
        <v>1966</v>
      </c>
    </row>
    <row r="1209" spans="1:9" x14ac:dyDescent="0.25">
      <c r="A1209" t="s">
        <v>1001</v>
      </c>
      <c r="B1209" t="s">
        <v>304</v>
      </c>
      <c r="C1209" s="3">
        <v>5</v>
      </c>
      <c r="D1209" t="s">
        <v>53</v>
      </c>
      <c r="E1209">
        <v>538209</v>
      </c>
      <c r="F1209" t="s">
        <v>1562</v>
      </c>
      <c r="G1209" t="s">
        <v>1761</v>
      </c>
      <c r="H1209" s="4">
        <v>45820</v>
      </c>
      <c r="I1209" t="s">
        <v>1966</v>
      </c>
    </row>
    <row r="1210" spans="1:9" x14ac:dyDescent="0.25">
      <c r="A1210" t="s">
        <v>1000</v>
      </c>
      <c r="B1210" t="s">
        <v>304</v>
      </c>
      <c r="C1210" s="3">
        <v>5</v>
      </c>
      <c r="D1210" t="s">
        <v>53</v>
      </c>
      <c r="E1210">
        <v>538210</v>
      </c>
      <c r="F1210" t="s">
        <v>1562</v>
      </c>
      <c r="G1210" t="s">
        <v>1762</v>
      </c>
      <c r="H1210" s="4">
        <v>45820</v>
      </c>
      <c r="I1210" t="s">
        <v>1966</v>
      </c>
    </row>
    <row r="1211" spans="1:9" x14ac:dyDescent="0.25">
      <c r="A1211" t="s">
        <v>999</v>
      </c>
      <c r="B1211" t="s">
        <v>304</v>
      </c>
      <c r="C1211" s="3">
        <v>10</v>
      </c>
      <c r="D1211" t="s">
        <v>53</v>
      </c>
      <c r="E1211">
        <v>538211</v>
      </c>
      <c r="F1211" t="s">
        <v>1562</v>
      </c>
      <c r="G1211" t="s">
        <v>1763</v>
      </c>
      <c r="H1211" s="4">
        <v>45820</v>
      </c>
      <c r="I1211" t="s">
        <v>1966</v>
      </c>
    </row>
    <row r="1212" spans="1:9" x14ac:dyDescent="0.25">
      <c r="A1212" t="s">
        <v>998</v>
      </c>
      <c r="B1212" t="s">
        <v>304</v>
      </c>
      <c r="C1212" s="3">
        <v>10</v>
      </c>
      <c r="D1212" t="s">
        <v>53</v>
      </c>
      <c r="E1212">
        <v>538212</v>
      </c>
      <c r="F1212" t="s">
        <v>1562</v>
      </c>
      <c r="G1212" t="s">
        <v>1764</v>
      </c>
      <c r="H1212" s="4">
        <v>45820</v>
      </c>
      <c r="I1212" t="s">
        <v>1966</v>
      </c>
    </row>
    <row r="1213" spans="1:9" x14ac:dyDescent="0.25">
      <c r="A1213" t="s">
        <v>997</v>
      </c>
      <c r="B1213" t="s">
        <v>304</v>
      </c>
      <c r="C1213" s="3">
        <v>5</v>
      </c>
      <c r="D1213" t="s">
        <v>53</v>
      </c>
      <c r="E1213">
        <v>538213</v>
      </c>
      <c r="F1213" t="s">
        <v>1562</v>
      </c>
      <c r="G1213" t="s">
        <v>1765</v>
      </c>
      <c r="H1213" s="4">
        <v>45820</v>
      </c>
      <c r="I1213" t="s">
        <v>1966</v>
      </c>
    </row>
    <row r="1214" spans="1:9" x14ac:dyDescent="0.25">
      <c r="A1214" t="s">
        <v>412</v>
      </c>
      <c r="B1214" t="s">
        <v>304</v>
      </c>
      <c r="C1214" s="3">
        <v>10</v>
      </c>
      <c r="D1214" t="s">
        <v>53</v>
      </c>
      <c r="E1214">
        <v>538214</v>
      </c>
      <c r="F1214" t="s">
        <v>1562</v>
      </c>
      <c r="G1214" t="s">
        <v>1766</v>
      </c>
      <c r="H1214" s="4">
        <v>45820</v>
      </c>
      <c r="I1214" t="s">
        <v>1966</v>
      </c>
    </row>
    <row r="1215" spans="1:9" x14ac:dyDescent="0.25">
      <c r="A1215" t="s">
        <v>996</v>
      </c>
      <c r="B1215" t="s">
        <v>304</v>
      </c>
      <c r="C1215" s="3">
        <v>20</v>
      </c>
      <c r="D1215" t="s">
        <v>53</v>
      </c>
      <c r="E1215">
        <v>538215</v>
      </c>
      <c r="F1215" t="s">
        <v>1562</v>
      </c>
      <c r="G1215" t="s">
        <v>1767</v>
      </c>
      <c r="H1215" s="4">
        <v>45820</v>
      </c>
      <c r="I1215" t="s">
        <v>1966</v>
      </c>
    </row>
    <row r="1216" spans="1:9" x14ac:dyDescent="0.25">
      <c r="A1216" t="s">
        <v>317</v>
      </c>
      <c r="B1216" t="s">
        <v>304</v>
      </c>
      <c r="C1216" s="3">
        <v>30</v>
      </c>
      <c r="D1216" t="s">
        <v>53</v>
      </c>
      <c r="E1216">
        <v>538216</v>
      </c>
      <c r="F1216" t="s">
        <v>1562</v>
      </c>
      <c r="G1216" t="s">
        <v>1768</v>
      </c>
      <c r="H1216" s="4">
        <v>45820</v>
      </c>
      <c r="I1216" t="s">
        <v>1966</v>
      </c>
    </row>
    <row r="1217" spans="1:9" x14ac:dyDescent="0.25">
      <c r="A1217" t="s">
        <v>995</v>
      </c>
      <c r="B1217" t="s">
        <v>304</v>
      </c>
      <c r="C1217" s="3">
        <v>10</v>
      </c>
      <c r="D1217" t="s">
        <v>53</v>
      </c>
      <c r="E1217">
        <v>538217</v>
      </c>
      <c r="F1217" t="s">
        <v>1562</v>
      </c>
      <c r="G1217" t="s">
        <v>1769</v>
      </c>
      <c r="H1217" s="4">
        <v>45820</v>
      </c>
      <c r="I1217" t="s">
        <v>1966</v>
      </c>
    </row>
    <row r="1218" spans="1:9" x14ac:dyDescent="0.25">
      <c r="A1218" t="s">
        <v>994</v>
      </c>
      <c r="B1218" t="s">
        <v>304</v>
      </c>
      <c r="C1218" s="3">
        <v>5</v>
      </c>
      <c r="D1218" t="s">
        <v>53</v>
      </c>
      <c r="E1218">
        <v>538218</v>
      </c>
      <c r="F1218" t="s">
        <v>1562</v>
      </c>
      <c r="G1218" t="s">
        <v>1770</v>
      </c>
      <c r="H1218" s="4">
        <v>45820</v>
      </c>
      <c r="I1218" t="s">
        <v>1966</v>
      </c>
    </row>
    <row r="1219" spans="1:9" x14ac:dyDescent="0.25">
      <c r="A1219" t="s">
        <v>993</v>
      </c>
      <c r="B1219" t="s">
        <v>304</v>
      </c>
      <c r="C1219" s="3">
        <v>5</v>
      </c>
      <c r="D1219" t="s">
        <v>53</v>
      </c>
      <c r="E1219">
        <v>538219</v>
      </c>
      <c r="F1219" t="s">
        <v>1562</v>
      </c>
      <c r="G1219" t="s">
        <v>1771</v>
      </c>
      <c r="H1219" s="4">
        <v>45820</v>
      </c>
      <c r="I1219" t="s">
        <v>1966</v>
      </c>
    </row>
    <row r="1220" spans="1:9" x14ac:dyDescent="0.25">
      <c r="A1220" t="s">
        <v>992</v>
      </c>
      <c r="B1220" t="s">
        <v>304</v>
      </c>
      <c r="C1220" s="3">
        <v>20</v>
      </c>
      <c r="D1220" t="s">
        <v>53</v>
      </c>
      <c r="E1220">
        <v>538220</v>
      </c>
      <c r="F1220" t="s">
        <v>1562</v>
      </c>
      <c r="G1220" t="s">
        <v>1772</v>
      </c>
      <c r="H1220" s="4">
        <v>45820</v>
      </c>
      <c r="I1220" t="s">
        <v>1966</v>
      </c>
    </row>
    <row r="1221" spans="1:9" x14ac:dyDescent="0.25">
      <c r="A1221" t="s">
        <v>991</v>
      </c>
      <c r="B1221" t="s">
        <v>304</v>
      </c>
      <c r="C1221" s="3">
        <v>20</v>
      </c>
      <c r="D1221" t="s">
        <v>53</v>
      </c>
      <c r="E1221">
        <v>538221</v>
      </c>
      <c r="F1221" t="s">
        <v>1562</v>
      </c>
      <c r="G1221" t="s">
        <v>1773</v>
      </c>
      <c r="H1221" s="4">
        <v>45820</v>
      </c>
      <c r="I1221" t="s">
        <v>1966</v>
      </c>
    </row>
    <row r="1222" spans="1:9" x14ac:dyDescent="0.25">
      <c r="A1222" t="s">
        <v>990</v>
      </c>
      <c r="B1222" t="s">
        <v>304</v>
      </c>
      <c r="C1222" s="3">
        <v>10</v>
      </c>
      <c r="D1222" t="s">
        <v>53</v>
      </c>
      <c r="E1222">
        <v>538222</v>
      </c>
      <c r="F1222" t="s">
        <v>1562</v>
      </c>
      <c r="G1222" t="s">
        <v>1774</v>
      </c>
      <c r="H1222" s="4">
        <v>45820</v>
      </c>
      <c r="I1222" t="s">
        <v>1966</v>
      </c>
    </row>
    <row r="1223" spans="1:9" x14ac:dyDescent="0.25">
      <c r="A1223" t="s">
        <v>977</v>
      </c>
      <c r="B1223" t="s">
        <v>304</v>
      </c>
      <c r="C1223" s="3">
        <v>5</v>
      </c>
      <c r="D1223" t="s">
        <v>53</v>
      </c>
      <c r="E1223">
        <v>538223</v>
      </c>
      <c r="F1223" t="s">
        <v>1562</v>
      </c>
      <c r="G1223" t="s">
        <v>1775</v>
      </c>
      <c r="H1223" s="4">
        <v>45820</v>
      </c>
      <c r="I1223" t="s">
        <v>1966</v>
      </c>
    </row>
    <row r="1224" spans="1:9" x14ac:dyDescent="0.25">
      <c r="A1224" t="s">
        <v>989</v>
      </c>
      <c r="B1224" t="s">
        <v>304</v>
      </c>
      <c r="C1224" s="3">
        <v>5</v>
      </c>
      <c r="D1224" t="s">
        <v>53</v>
      </c>
      <c r="E1224">
        <v>538224</v>
      </c>
      <c r="F1224" t="s">
        <v>1562</v>
      </c>
      <c r="G1224" t="s">
        <v>1776</v>
      </c>
      <c r="H1224" s="4">
        <v>45820</v>
      </c>
      <c r="I1224" t="s">
        <v>1966</v>
      </c>
    </row>
    <row r="1225" spans="1:9" x14ac:dyDescent="0.25">
      <c r="A1225" t="s">
        <v>685</v>
      </c>
      <c r="B1225" t="s">
        <v>304</v>
      </c>
      <c r="C1225" s="3">
        <v>20</v>
      </c>
      <c r="D1225" t="s">
        <v>53</v>
      </c>
      <c r="E1225">
        <v>538225</v>
      </c>
      <c r="F1225" t="s">
        <v>1562</v>
      </c>
      <c r="G1225" t="s">
        <v>1777</v>
      </c>
      <c r="H1225" s="4">
        <v>45820</v>
      </c>
      <c r="I1225" t="s">
        <v>1966</v>
      </c>
    </row>
    <row r="1226" spans="1:9" x14ac:dyDescent="0.25">
      <c r="A1226" t="s">
        <v>988</v>
      </c>
      <c r="B1226" t="s">
        <v>304</v>
      </c>
      <c r="C1226" s="3">
        <v>20</v>
      </c>
      <c r="D1226" t="s">
        <v>53</v>
      </c>
      <c r="E1226">
        <v>538226</v>
      </c>
      <c r="F1226" t="s">
        <v>1562</v>
      </c>
      <c r="G1226" t="s">
        <v>1778</v>
      </c>
      <c r="H1226" s="4">
        <v>45820</v>
      </c>
      <c r="I1226" t="s">
        <v>1966</v>
      </c>
    </row>
    <row r="1227" spans="1:9" x14ac:dyDescent="0.25">
      <c r="A1227" t="s">
        <v>317</v>
      </c>
      <c r="B1227" t="s">
        <v>304</v>
      </c>
      <c r="C1227" s="3">
        <v>30</v>
      </c>
      <c r="D1227" t="s">
        <v>53</v>
      </c>
      <c r="E1227">
        <v>538227</v>
      </c>
      <c r="F1227" t="s">
        <v>1562</v>
      </c>
      <c r="G1227" t="s">
        <v>1779</v>
      </c>
      <c r="H1227" s="4">
        <v>45820</v>
      </c>
      <c r="I1227" t="s">
        <v>1966</v>
      </c>
    </row>
    <row r="1228" spans="1:9" x14ac:dyDescent="0.25">
      <c r="A1228" t="s">
        <v>423</v>
      </c>
      <c r="B1228" t="s">
        <v>304</v>
      </c>
      <c r="C1228" s="3">
        <v>5</v>
      </c>
      <c r="D1228" t="s">
        <v>53</v>
      </c>
      <c r="E1228">
        <v>538228</v>
      </c>
      <c r="F1228" t="s">
        <v>1562</v>
      </c>
      <c r="G1228" t="s">
        <v>1780</v>
      </c>
      <c r="H1228" s="4">
        <v>45820</v>
      </c>
      <c r="I1228" t="s">
        <v>1966</v>
      </c>
    </row>
    <row r="1229" spans="1:9" x14ac:dyDescent="0.25">
      <c r="A1229" t="s">
        <v>623</v>
      </c>
      <c r="B1229" t="s">
        <v>304</v>
      </c>
      <c r="C1229" s="3">
        <v>10</v>
      </c>
      <c r="D1229" t="s">
        <v>53</v>
      </c>
      <c r="E1229">
        <v>538229</v>
      </c>
      <c r="F1229" t="s">
        <v>1562</v>
      </c>
      <c r="G1229" t="s">
        <v>1781</v>
      </c>
      <c r="H1229" s="4">
        <v>45820</v>
      </c>
      <c r="I1229" t="s">
        <v>1966</v>
      </c>
    </row>
    <row r="1230" spans="1:9" x14ac:dyDescent="0.25">
      <c r="A1230" t="s">
        <v>987</v>
      </c>
      <c r="B1230" t="s">
        <v>304</v>
      </c>
      <c r="C1230" s="3">
        <v>10</v>
      </c>
      <c r="D1230" t="s">
        <v>53</v>
      </c>
      <c r="E1230">
        <v>538230</v>
      </c>
      <c r="F1230" t="s">
        <v>1562</v>
      </c>
      <c r="G1230" t="s">
        <v>1782</v>
      </c>
      <c r="H1230" s="4">
        <v>45820</v>
      </c>
      <c r="I1230" t="s">
        <v>1966</v>
      </c>
    </row>
    <row r="1231" spans="1:9" x14ac:dyDescent="0.25">
      <c r="A1231" t="s">
        <v>986</v>
      </c>
      <c r="B1231" t="s">
        <v>304</v>
      </c>
      <c r="C1231" s="3">
        <v>20</v>
      </c>
      <c r="D1231" t="s">
        <v>53</v>
      </c>
      <c r="E1231">
        <v>538231</v>
      </c>
      <c r="F1231" t="s">
        <v>1562</v>
      </c>
      <c r="G1231" t="s">
        <v>1783</v>
      </c>
      <c r="H1231" s="4">
        <v>45820</v>
      </c>
      <c r="I1231" t="s">
        <v>1966</v>
      </c>
    </row>
    <row r="1232" spans="1:9" x14ac:dyDescent="0.25">
      <c r="A1232" t="s">
        <v>985</v>
      </c>
      <c r="B1232" t="s">
        <v>304</v>
      </c>
      <c r="C1232" s="3">
        <v>5</v>
      </c>
      <c r="D1232" t="s">
        <v>53</v>
      </c>
      <c r="E1232">
        <v>538232</v>
      </c>
      <c r="F1232" t="s">
        <v>1562</v>
      </c>
      <c r="G1232" t="s">
        <v>1784</v>
      </c>
      <c r="H1232" s="4">
        <v>45820</v>
      </c>
      <c r="I1232" t="s">
        <v>1966</v>
      </c>
    </row>
    <row r="1233" spans="1:9" x14ac:dyDescent="0.25">
      <c r="A1233" t="s">
        <v>984</v>
      </c>
      <c r="B1233" t="s">
        <v>304</v>
      </c>
      <c r="C1233" s="3">
        <v>5</v>
      </c>
      <c r="D1233" t="s">
        <v>53</v>
      </c>
      <c r="E1233">
        <v>538233</v>
      </c>
      <c r="F1233" t="s">
        <v>1562</v>
      </c>
      <c r="G1233" t="s">
        <v>1785</v>
      </c>
      <c r="H1233" s="4">
        <v>45820</v>
      </c>
      <c r="I1233" t="s">
        <v>1966</v>
      </c>
    </row>
    <row r="1234" spans="1:9" x14ac:dyDescent="0.25">
      <c r="A1234" t="s">
        <v>983</v>
      </c>
      <c r="B1234" t="s">
        <v>304</v>
      </c>
      <c r="C1234" s="3">
        <v>5</v>
      </c>
      <c r="D1234" t="s">
        <v>53</v>
      </c>
      <c r="E1234">
        <v>538234</v>
      </c>
      <c r="F1234" t="s">
        <v>1562</v>
      </c>
      <c r="G1234" t="s">
        <v>1786</v>
      </c>
      <c r="H1234" s="4">
        <v>45820</v>
      </c>
      <c r="I1234" t="s">
        <v>1966</v>
      </c>
    </row>
    <row r="1235" spans="1:9" x14ac:dyDescent="0.25">
      <c r="A1235" t="s">
        <v>982</v>
      </c>
      <c r="B1235" t="s">
        <v>304</v>
      </c>
      <c r="C1235" s="3">
        <v>20</v>
      </c>
      <c r="D1235" t="s">
        <v>53</v>
      </c>
      <c r="E1235">
        <v>538235</v>
      </c>
      <c r="F1235" t="s">
        <v>1562</v>
      </c>
      <c r="G1235" t="s">
        <v>1787</v>
      </c>
      <c r="H1235" s="4">
        <v>45820</v>
      </c>
      <c r="I1235" t="s">
        <v>1966</v>
      </c>
    </row>
    <row r="1236" spans="1:9" x14ac:dyDescent="0.25">
      <c r="A1236" t="s">
        <v>981</v>
      </c>
      <c r="B1236" t="s">
        <v>304</v>
      </c>
      <c r="C1236" s="3">
        <v>100</v>
      </c>
      <c r="D1236" t="s">
        <v>53</v>
      </c>
      <c r="E1236">
        <v>538236</v>
      </c>
      <c r="F1236" t="s">
        <v>1562</v>
      </c>
      <c r="G1236" t="s">
        <v>1788</v>
      </c>
      <c r="H1236" s="4">
        <v>45820</v>
      </c>
      <c r="I1236" t="s">
        <v>1966</v>
      </c>
    </row>
    <row r="1237" spans="1:9" x14ac:dyDescent="0.25">
      <c r="A1237" t="s">
        <v>980</v>
      </c>
      <c r="B1237" t="s">
        <v>304</v>
      </c>
      <c r="C1237" s="3">
        <v>5</v>
      </c>
      <c r="D1237" t="s">
        <v>53</v>
      </c>
      <c r="E1237">
        <v>538237</v>
      </c>
      <c r="F1237" t="s">
        <v>1562</v>
      </c>
      <c r="G1237" t="s">
        <v>1789</v>
      </c>
      <c r="H1237" s="4">
        <v>45820</v>
      </c>
      <c r="I1237" t="s">
        <v>1966</v>
      </c>
    </row>
    <row r="1238" spans="1:9" x14ac:dyDescent="0.25">
      <c r="A1238" t="s">
        <v>584</v>
      </c>
      <c r="B1238" t="s">
        <v>304</v>
      </c>
      <c r="C1238" s="3">
        <v>10</v>
      </c>
      <c r="D1238" t="s">
        <v>53</v>
      </c>
      <c r="E1238">
        <v>538238</v>
      </c>
      <c r="F1238" t="s">
        <v>1562</v>
      </c>
      <c r="G1238" t="s">
        <v>1790</v>
      </c>
      <c r="H1238" s="4">
        <v>45820</v>
      </c>
      <c r="I1238" t="s">
        <v>1966</v>
      </c>
    </row>
    <row r="1239" spans="1:9" x14ac:dyDescent="0.25">
      <c r="A1239" t="s">
        <v>979</v>
      </c>
      <c r="B1239" t="s">
        <v>304</v>
      </c>
      <c r="C1239" s="3">
        <v>5</v>
      </c>
      <c r="D1239" t="s">
        <v>53</v>
      </c>
      <c r="E1239">
        <v>538239</v>
      </c>
      <c r="F1239" t="s">
        <v>1562</v>
      </c>
      <c r="G1239" t="s">
        <v>1791</v>
      </c>
      <c r="H1239" s="4">
        <v>45820</v>
      </c>
      <c r="I1239" t="s">
        <v>1966</v>
      </c>
    </row>
    <row r="1240" spans="1:9" x14ac:dyDescent="0.25">
      <c r="A1240" t="s">
        <v>317</v>
      </c>
      <c r="B1240" t="s">
        <v>304</v>
      </c>
      <c r="C1240" s="3">
        <v>20</v>
      </c>
      <c r="D1240" t="s">
        <v>53</v>
      </c>
      <c r="E1240">
        <v>538240</v>
      </c>
      <c r="F1240" t="s">
        <v>1562</v>
      </c>
      <c r="G1240" t="s">
        <v>1792</v>
      </c>
      <c r="H1240" s="4">
        <v>45820</v>
      </c>
      <c r="I1240" t="s">
        <v>1966</v>
      </c>
    </row>
    <row r="1241" spans="1:9" x14ac:dyDescent="0.25">
      <c r="A1241" t="s">
        <v>978</v>
      </c>
      <c r="B1241" t="s">
        <v>304</v>
      </c>
      <c r="C1241" s="3">
        <v>5</v>
      </c>
      <c r="D1241" t="s">
        <v>53</v>
      </c>
      <c r="E1241">
        <v>538241</v>
      </c>
      <c r="F1241" t="s">
        <v>1562</v>
      </c>
      <c r="G1241" t="s">
        <v>1793</v>
      </c>
      <c r="H1241" s="4">
        <v>45820</v>
      </c>
      <c r="I1241" t="s">
        <v>1966</v>
      </c>
    </row>
    <row r="1242" spans="1:9" x14ac:dyDescent="0.25">
      <c r="A1242" t="s">
        <v>977</v>
      </c>
      <c r="B1242" t="s">
        <v>304</v>
      </c>
      <c r="C1242" s="3">
        <v>5</v>
      </c>
      <c r="D1242" t="s">
        <v>53</v>
      </c>
      <c r="E1242">
        <v>538242</v>
      </c>
      <c r="F1242" t="s">
        <v>1562</v>
      </c>
      <c r="G1242" t="s">
        <v>1794</v>
      </c>
      <c r="H1242" s="4">
        <v>45820</v>
      </c>
      <c r="I1242" t="s">
        <v>1966</v>
      </c>
    </row>
    <row r="1243" spans="1:9" x14ac:dyDescent="0.25">
      <c r="A1243" t="s">
        <v>976</v>
      </c>
      <c r="B1243" t="s">
        <v>304</v>
      </c>
      <c r="C1243" s="3">
        <v>20</v>
      </c>
      <c r="D1243" t="s">
        <v>53</v>
      </c>
      <c r="E1243">
        <v>538243</v>
      </c>
      <c r="F1243" t="s">
        <v>1562</v>
      </c>
      <c r="G1243" t="s">
        <v>1795</v>
      </c>
      <c r="H1243" s="4">
        <v>45820</v>
      </c>
      <c r="I1243" t="s">
        <v>1966</v>
      </c>
    </row>
    <row r="1244" spans="1:9" x14ac:dyDescent="0.25">
      <c r="A1244" t="s">
        <v>975</v>
      </c>
      <c r="B1244" t="s">
        <v>304</v>
      </c>
      <c r="C1244" s="3">
        <v>20</v>
      </c>
      <c r="D1244" t="s">
        <v>53</v>
      </c>
      <c r="E1244">
        <v>538244</v>
      </c>
      <c r="F1244" t="s">
        <v>1562</v>
      </c>
      <c r="G1244" t="s">
        <v>1796</v>
      </c>
      <c r="H1244" s="4">
        <v>45820</v>
      </c>
      <c r="I1244" t="s">
        <v>1966</v>
      </c>
    </row>
    <row r="1245" spans="1:9" x14ac:dyDescent="0.25">
      <c r="A1245" t="s">
        <v>974</v>
      </c>
      <c r="B1245" t="s">
        <v>304</v>
      </c>
      <c r="C1245" s="3">
        <v>5</v>
      </c>
      <c r="D1245" t="s">
        <v>53</v>
      </c>
      <c r="E1245">
        <v>538245</v>
      </c>
      <c r="F1245" t="s">
        <v>1562</v>
      </c>
      <c r="G1245" t="s">
        <v>1797</v>
      </c>
      <c r="H1245" s="4">
        <v>45820</v>
      </c>
      <c r="I1245" t="s">
        <v>1966</v>
      </c>
    </row>
    <row r="1246" spans="1:9" x14ac:dyDescent="0.25">
      <c r="A1246" t="s">
        <v>973</v>
      </c>
      <c r="B1246" t="s">
        <v>304</v>
      </c>
      <c r="C1246" s="3">
        <v>20</v>
      </c>
      <c r="D1246" t="s">
        <v>53</v>
      </c>
      <c r="E1246">
        <v>538246</v>
      </c>
      <c r="F1246" t="s">
        <v>1562</v>
      </c>
      <c r="G1246" t="s">
        <v>1798</v>
      </c>
      <c r="H1246" s="4">
        <v>45820</v>
      </c>
      <c r="I1246" t="s">
        <v>1966</v>
      </c>
    </row>
    <row r="1247" spans="1:9" x14ac:dyDescent="0.25">
      <c r="A1247" t="s">
        <v>972</v>
      </c>
      <c r="B1247" t="s">
        <v>304</v>
      </c>
      <c r="C1247" s="3">
        <v>5</v>
      </c>
      <c r="D1247" t="s">
        <v>53</v>
      </c>
      <c r="E1247">
        <v>538247</v>
      </c>
      <c r="F1247" t="s">
        <v>1562</v>
      </c>
      <c r="G1247" t="s">
        <v>1799</v>
      </c>
      <c r="H1247" s="4">
        <v>45820</v>
      </c>
      <c r="I1247" t="s">
        <v>1966</v>
      </c>
    </row>
    <row r="1248" spans="1:9" x14ac:dyDescent="0.25">
      <c r="A1248" t="s">
        <v>317</v>
      </c>
      <c r="B1248" t="s">
        <v>304</v>
      </c>
      <c r="C1248" s="3">
        <v>80</v>
      </c>
      <c r="D1248" t="s">
        <v>53</v>
      </c>
      <c r="E1248">
        <v>538248</v>
      </c>
      <c r="F1248" t="s">
        <v>1562</v>
      </c>
      <c r="G1248" t="s">
        <v>1800</v>
      </c>
      <c r="H1248" s="4">
        <v>45820</v>
      </c>
      <c r="I1248" t="s">
        <v>1966</v>
      </c>
    </row>
    <row r="1249" spans="1:9" x14ac:dyDescent="0.25">
      <c r="A1249" t="s">
        <v>579</v>
      </c>
      <c r="B1249" t="s">
        <v>304</v>
      </c>
      <c r="C1249" s="3">
        <v>5</v>
      </c>
      <c r="D1249" t="s">
        <v>53</v>
      </c>
      <c r="E1249">
        <v>538249</v>
      </c>
      <c r="F1249" t="s">
        <v>1562</v>
      </c>
      <c r="G1249" t="s">
        <v>1801</v>
      </c>
      <c r="H1249" s="4">
        <v>45820</v>
      </c>
      <c r="I1249" t="s">
        <v>1966</v>
      </c>
    </row>
    <row r="1250" spans="1:9" x14ac:dyDescent="0.25">
      <c r="A1250" t="s">
        <v>971</v>
      </c>
      <c r="B1250" t="s">
        <v>304</v>
      </c>
      <c r="C1250" s="3">
        <v>20</v>
      </c>
      <c r="D1250" t="s">
        <v>53</v>
      </c>
      <c r="E1250">
        <v>538250</v>
      </c>
      <c r="F1250" t="s">
        <v>1562</v>
      </c>
      <c r="G1250" t="s">
        <v>1802</v>
      </c>
      <c r="H1250" s="4">
        <v>45820</v>
      </c>
      <c r="I1250" t="s">
        <v>1966</v>
      </c>
    </row>
    <row r="1251" spans="1:9" x14ac:dyDescent="0.25">
      <c r="A1251" t="s">
        <v>970</v>
      </c>
      <c r="B1251" t="s">
        <v>304</v>
      </c>
      <c r="C1251" s="3">
        <v>20</v>
      </c>
      <c r="D1251" t="s">
        <v>53</v>
      </c>
      <c r="E1251">
        <v>538251</v>
      </c>
      <c r="F1251" t="s">
        <v>1562</v>
      </c>
      <c r="G1251" t="s">
        <v>1803</v>
      </c>
      <c r="H1251" s="4">
        <v>45820</v>
      </c>
      <c r="I1251" t="s">
        <v>1966</v>
      </c>
    </row>
    <row r="1252" spans="1:9" x14ac:dyDescent="0.25">
      <c r="A1252" t="s">
        <v>969</v>
      </c>
      <c r="B1252" t="s">
        <v>304</v>
      </c>
      <c r="C1252" s="3">
        <v>5</v>
      </c>
      <c r="D1252" t="s">
        <v>53</v>
      </c>
      <c r="E1252">
        <v>538252</v>
      </c>
      <c r="F1252" t="s">
        <v>1562</v>
      </c>
      <c r="G1252" t="s">
        <v>1804</v>
      </c>
      <c r="H1252" s="4">
        <v>45820</v>
      </c>
      <c r="I1252" t="s">
        <v>1966</v>
      </c>
    </row>
    <row r="1253" spans="1:9" x14ac:dyDescent="0.25">
      <c r="A1253" t="s">
        <v>968</v>
      </c>
      <c r="B1253" t="s">
        <v>304</v>
      </c>
      <c r="C1253" s="3">
        <v>5</v>
      </c>
      <c r="D1253" t="s">
        <v>53</v>
      </c>
      <c r="E1253">
        <v>538253</v>
      </c>
      <c r="F1253" t="s">
        <v>1562</v>
      </c>
      <c r="G1253" t="s">
        <v>1805</v>
      </c>
      <c r="H1253" s="4">
        <v>45820</v>
      </c>
      <c r="I1253" t="s">
        <v>1966</v>
      </c>
    </row>
    <row r="1254" spans="1:9" x14ac:dyDescent="0.25">
      <c r="A1254" t="s">
        <v>967</v>
      </c>
      <c r="B1254" t="s">
        <v>304</v>
      </c>
      <c r="C1254" s="3">
        <v>20</v>
      </c>
      <c r="D1254" t="s">
        <v>53</v>
      </c>
      <c r="E1254">
        <v>538254</v>
      </c>
      <c r="F1254" t="s">
        <v>1562</v>
      </c>
      <c r="G1254" t="s">
        <v>1806</v>
      </c>
      <c r="H1254" s="4">
        <v>45820</v>
      </c>
      <c r="I1254" t="s">
        <v>1966</v>
      </c>
    </row>
    <row r="1255" spans="1:9" x14ac:dyDescent="0.25">
      <c r="A1255" t="s">
        <v>966</v>
      </c>
      <c r="B1255" t="s">
        <v>304</v>
      </c>
      <c r="C1255" s="3">
        <v>5</v>
      </c>
      <c r="D1255" t="s">
        <v>53</v>
      </c>
      <c r="E1255">
        <v>538255</v>
      </c>
      <c r="F1255" t="s">
        <v>1562</v>
      </c>
      <c r="G1255" t="s">
        <v>1807</v>
      </c>
      <c r="H1255" s="4">
        <v>45820</v>
      </c>
      <c r="I1255" t="s">
        <v>1966</v>
      </c>
    </row>
    <row r="1256" spans="1:9" x14ac:dyDescent="0.25">
      <c r="A1256" t="s">
        <v>965</v>
      </c>
      <c r="B1256" t="s">
        <v>304</v>
      </c>
      <c r="C1256" s="3">
        <v>5</v>
      </c>
      <c r="D1256" t="s">
        <v>53</v>
      </c>
      <c r="E1256">
        <v>538256</v>
      </c>
      <c r="F1256" t="s">
        <v>1562</v>
      </c>
      <c r="G1256" t="s">
        <v>1808</v>
      </c>
      <c r="H1256" s="4">
        <v>45820</v>
      </c>
      <c r="I1256" t="s">
        <v>1966</v>
      </c>
    </row>
    <row r="1257" spans="1:9" x14ac:dyDescent="0.25">
      <c r="A1257" t="s">
        <v>317</v>
      </c>
      <c r="B1257" t="s">
        <v>304</v>
      </c>
      <c r="C1257" s="3">
        <v>70</v>
      </c>
      <c r="D1257" t="s">
        <v>53</v>
      </c>
      <c r="E1257">
        <v>538257</v>
      </c>
      <c r="F1257" t="s">
        <v>1562</v>
      </c>
      <c r="G1257" t="s">
        <v>1809</v>
      </c>
      <c r="H1257" s="4">
        <v>45820</v>
      </c>
      <c r="I1257" t="s">
        <v>1966</v>
      </c>
    </row>
    <row r="1258" spans="1:9" x14ac:dyDescent="0.25">
      <c r="A1258" t="s">
        <v>964</v>
      </c>
      <c r="B1258" t="s">
        <v>304</v>
      </c>
      <c r="C1258" s="3">
        <v>20</v>
      </c>
      <c r="D1258" t="s">
        <v>53</v>
      </c>
      <c r="E1258">
        <v>538258</v>
      </c>
      <c r="F1258" t="s">
        <v>1562</v>
      </c>
      <c r="G1258" t="s">
        <v>1810</v>
      </c>
      <c r="H1258" s="4">
        <v>45820</v>
      </c>
      <c r="I1258" t="s">
        <v>1966</v>
      </c>
    </row>
    <row r="1259" spans="1:9" x14ac:dyDescent="0.25">
      <c r="A1259" t="s">
        <v>963</v>
      </c>
      <c r="B1259" t="s">
        <v>304</v>
      </c>
      <c r="C1259" s="3">
        <v>5</v>
      </c>
      <c r="D1259" t="s">
        <v>53</v>
      </c>
      <c r="E1259">
        <v>538259</v>
      </c>
      <c r="F1259" t="s">
        <v>1562</v>
      </c>
      <c r="G1259" t="s">
        <v>1811</v>
      </c>
      <c r="H1259" s="4">
        <v>45820</v>
      </c>
      <c r="I1259" t="s">
        <v>1966</v>
      </c>
    </row>
    <row r="1260" spans="1:9" x14ac:dyDescent="0.25">
      <c r="A1260" t="s">
        <v>962</v>
      </c>
      <c r="B1260" t="s">
        <v>304</v>
      </c>
      <c r="C1260" s="3">
        <v>5</v>
      </c>
      <c r="D1260" t="s">
        <v>53</v>
      </c>
      <c r="E1260">
        <v>538260</v>
      </c>
      <c r="F1260" t="s">
        <v>1562</v>
      </c>
      <c r="G1260" t="s">
        <v>1812</v>
      </c>
      <c r="H1260" s="4">
        <v>45820</v>
      </c>
      <c r="I1260" t="s">
        <v>1966</v>
      </c>
    </row>
    <row r="1261" spans="1:9" x14ac:dyDescent="0.25">
      <c r="A1261" t="s">
        <v>961</v>
      </c>
      <c r="B1261" t="s">
        <v>304</v>
      </c>
      <c r="C1261" s="3">
        <v>5</v>
      </c>
      <c r="D1261" t="s">
        <v>53</v>
      </c>
      <c r="E1261">
        <v>538261</v>
      </c>
      <c r="F1261" t="s">
        <v>1562</v>
      </c>
      <c r="G1261" t="s">
        <v>1813</v>
      </c>
      <c r="H1261" s="4">
        <v>45820</v>
      </c>
      <c r="I1261" t="s">
        <v>1966</v>
      </c>
    </row>
    <row r="1262" spans="1:9" x14ac:dyDescent="0.25">
      <c r="A1262" t="s">
        <v>960</v>
      </c>
      <c r="B1262" t="s">
        <v>304</v>
      </c>
      <c r="C1262" s="3">
        <v>5</v>
      </c>
      <c r="D1262" t="s">
        <v>53</v>
      </c>
      <c r="E1262">
        <v>538262</v>
      </c>
      <c r="F1262" t="s">
        <v>1562</v>
      </c>
      <c r="G1262" t="s">
        <v>1814</v>
      </c>
      <c r="H1262" s="4">
        <v>45820</v>
      </c>
      <c r="I1262" t="s">
        <v>1966</v>
      </c>
    </row>
    <row r="1263" spans="1:9" x14ac:dyDescent="0.25">
      <c r="A1263" t="s">
        <v>959</v>
      </c>
      <c r="B1263" t="s">
        <v>304</v>
      </c>
      <c r="C1263" s="3">
        <v>5</v>
      </c>
      <c r="D1263" t="s">
        <v>53</v>
      </c>
      <c r="E1263">
        <v>538263</v>
      </c>
      <c r="F1263" t="s">
        <v>1562</v>
      </c>
      <c r="G1263" t="s">
        <v>1815</v>
      </c>
      <c r="H1263" s="4">
        <v>45820</v>
      </c>
      <c r="I1263" t="s">
        <v>1966</v>
      </c>
    </row>
    <row r="1264" spans="1:9" x14ac:dyDescent="0.25">
      <c r="A1264" t="s">
        <v>958</v>
      </c>
      <c r="B1264" t="s">
        <v>304</v>
      </c>
      <c r="C1264" s="3">
        <v>5</v>
      </c>
      <c r="D1264" t="s">
        <v>53</v>
      </c>
      <c r="E1264">
        <v>538264</v>
      </c>
      <c r="F1264" t="s">
        <v>1562</v>
      </c>
      <c r="G1264" t="s">
        <v>1816</v>
      </c>
      <c r="H1264" s="4">
        <v>45820</v>
      </c>
      <c r="I1264" t="s">
        <v>1966</v>
      </c>
    </row>
    <row r="1265" spans="1:9" x14ac:dyDescent="0.25">
      <c r="A1265" t="s">
        <v>317</v>
      </c>
      <c r="B1265" t="s">
        <v>304</v>
      </c>
      <c r="C1265" s="3">
        <v>115</v>
      </c>
      <c r="D1265" t="s">
        <v>53</v>
      </c>
      <c r="E1265">
        <v>538265</v>
      </c>
      <c r="F1265" t="s">
        <v>1562</v>
      </c>
      <c r="G1265" t="s">
        <v>1817</v>
      </c>
      <c r="H1265" s="4">
        <v>45820</v>
      </c>
      <c r="I1265" t="s">
        <v>1966</v>
      </c>
    </row>
    <row r="1266" spans="1:9" x14ac:dyDescent="0.25">
      <c r="A1266" t="s">
        <v>957</v>
      </c>
      <c r="B1266" t="s">
        <v>304</v>
      </c>
      <c r="C1266" s="3">
        <v>20</v>
      </c>
      <c r="D1266" t="s">
        <v>53</v>
      </c>
      <c r="E1266">
        <v>538266</v>
      </c>
      <c r="F1266" t="s">
        <v>1562</v>
      </c>
      <c r="G1266" t="s">
        <v>1818</v>
      </c>
      <c r="H1266" s="4">
        <v>45820</v>
      </c>
      <c r="I1266" t="s">
        <v>1966</v>
      </c>
    </row>
    <row r="1267" spans="1:9" x14ac:dyDescent="0.25">
      <c r="A1267" t="s">
        <v>956</v>
      </c>
      <c r="B1267" t="s">
        <v>304</v>
      </c>
      <c r="C1267" s="3">
        <v>10</v>
      </c>
      <c r="D1267" t="s">
        <v>53</v>
      </c>
      <c r="E1267">
        <v>538267</v>
      </c>
      <c r="F1267" t="s">
        <v>1562</v>
      </c>
      <c r="G1267" t="s">
        <v>1819</v>
      </c>
      <c r="H1267" s="4">
        <v>45820</v>
      </c>
      <c r="I1267" t="s">
        <v>1966</v>
      </c>
    </row>
    <row r="1268" spans="1:9" x14ac:dyDescent="0.25">
      <c r="A1268" t="s">
        <v>430</v>
      </c>
      <c r="B1268" t="s">
        <v>304</v>
      </c>
      <c r="C1268" s="3">
        <v>20</v>
      </c>
      <c r="D1268" t="s">
        <v>53</v>
      </c>
      <c r="E1268">
        <v>538268</v>
      </c>
      <c r="F1268" t="s">
        <v>1562</v>
      </c>
      <c r="G1268" t="s">
        <v>1820</v>
      </c>
      <c r="H1268" s="4">
        <v>45820</v>
      </c>
      <c r="I1268" t="s">
        <v>1966</v>
      </c>
    </row>
    <row r="1269" spans="1:9" x14ac:dyDescent="0.25">
      <c r="A1269" t="s">
        <v>955</v>
      </c>
      <c r="B1269" t="s">
        <v>304</v>
      </c>
      <c r="C1269" s="3">
        <v>10</v>
      </c>
      <c r="D1269" t="s">
        <v>53</v>
      </c>
      <c r="E1269">
        <v>538269</v>
      </c>
      <c r="F1269" t="s">
        <v>1562</v>
      </c>
      <c r="G1269" t="s">
        <v>1821</v>
      </c>
      <c r="H1269" s="4">
        <v>45820</v>
      </c>
      <c r="I1269" t="s">
        <v>1966</v>
      </c>
    </row>
    <row r="1270" spans="1:9" x14ac:dyDescent="0.25">
      <c r="A1270" t="s">
        <v>954</v>
      </c>
      <c r="B1270" t="s">
        <v>304</v>
      </c>
      <c r="C1270" s="3">
        <v>5</v>
      </c>
      <c r="D1270" t="s">
        <v>53</v>
      </c>
      <c r="E1270">
        <v>538270</v>
      </c>
      <c r="F1270" t="s">
        <v>1562</v>
      </c>
      <c r="G1270" t="s">
        <v>1822</v>
      </c>
      <c r="H1270" s="4">
        <v>45820</v>
      </c>
      <c r="I1270" t="s">
        <v>1966</v>
      </c>
    </row>
    <row r="1271" spans="1:9" x14ac:dyDescent="0.25">
      <c r="A1271" t="s">
        <v>953</v>
      </c>
      <c r="B1271" t="s">
        <v>304</v>
      </c>
      <c r="C1271" s="3">
        <v>10</v>
      </c>
      <c r="D1271" t="s">
        <v>53</v>
      </c>
      <c r="E1271">
        <v>538271</v>
      </c>
      <c r="F1271" t="s">
        <v>1562</v>
      </c>
      <c r="G1271" t="s">
        <v>1823</v>
      </c>
      <c r="H1271" s="4">
        <v>45820</v>
      </c>
      <c r="I1271" t="s">
        <v>1966</v>
      </c>
    </row>
    <row r="1272" spans="1:9" x14ac:dyDescent="0.25">
      <c r="A1272" t="s">
        <v>952</v>
      </c>
      <c r="B1272" t="s">
        <v>304</v>
      </c>
      <c r="C1272" s="3">
        <v>15</v>
      </c>
      <c r="D1272" t="s">
        <v>53</v>
      </c>
      <c r="E1272">
        <v>538272</v>
      </c>
      <c r="F1272" t="s">
        <v>1562</v>
      </c>
      <c r="G1272" t="s">
        <v>1824</v>
      </c>
      <c r="H1272" s="4">
        <v>45820</v>
      </c>
      <c r="I1272" t="s">
        <v>1966</v>
      </c>
    </row>
    <row r="1273" spans="1:9" x14ac:dyDescent="0.25">
      <c r="A1273" t="s">
        <v>951</v>
      </c>
      <c r="B1273" t="s">
        <v>304</v>
      </c>
      <c r="C1273" s="3">
        <v>15</v>
      </c>
      <c r="D1273" t="s">
        <v>53</v>
      </c>
      <c r="E1273">
        <v>538273</v>
      </c>
      <c r="F1273" t="s">
        <v>1562</v>
      </c>
      <c r="G1273" t="s">
        <v>1825</v>
      </c>
      <c r="H1273" s="4">
        <v>45820</v>
      </c>
      <c r="I1273" t="s">
        <v>1966</v>
      </c>
    </row>
    <row r="1274" spans="1:9" x14ac:dyDescent="0.25">
      <c r="A1274" t="s">
        <v>950</v>
      </c>
      <c r="B1274" t="s">
        <v>304</v>
      </c>
      <c r="C1274" s="3">
        <v>10</v>
      </c>
      <c r="D1274" t="s">
        <v>53</v>
      </c>
      <c r="E1274">
        <v>538274</v>
      </c>
      <c r="F1274" t="s">
        <v>1562</v>
      </c>
      <c r="G1274" t="s">
        <v>1826</v>
      </c>
      <c r="H1274" s="4">
        <v>45820</v>
      </c>
      <c r="I1274" t="s">
        <v>1966</v>
      </c>
    </row>
    <row r="1275" spans="1:9" x14ac:dyDescent="0.25">
      <c r="A1275" t="s">
        <v>317</v>
      </c>
      <c r="B1275" t="s">
        <v>304</v>
      </c>
      <c r="C1275" s="3">
        <v>60</v>
      </c>
      <c r="D1275" t="s">
        <v>53</v>
      </c>
      <c r="E1275">
        <v>538275</v>
      </c>
      <c r="F1275" t="s">
        <v>1562</v>
      </c>
      <c r="G1275" t="s">
        <v>1827</v>
      </c>
      <c r="H1275" s="4">
        <v>45820</v>
      </c>
      <c r="I1275" t="s">
        <v>1966</v>
      </c>
    </row>
    <row r="1276" spans="1:9" x14ac:dyDescent="0.25">
      <c r="A1276" t="s">
        <v>949</v>
      </c>
      <c r="B1276" t="s">
        <v>304</v>
      </c>
      <c r="C1276" s="3">
        <v>20</v>
      </c>
      <c r="D1276" t="s">
        <v>53</v>
      </c>
      <c r="E1276">
        <v>538276</v>
      </c>
      <c r="F1276" t="s">
        <v>1562</v>
      </c>
      <c r="G1276" t="s">
        <v>1828</v>
      </c>
      <c r="H1276" s="4">
        <v>45820</v>
      </c>
      <c r="I1276" t="s">
        <v>1966</v>
      </c>
    </row>
    <row r="1277" spans="1:9" x14ac:dyDescent="0.25">
      <c r="A1277" t="s">
        <v>948</v>
      </c>
      <c r="B1277" t="s">
        <v>304</v>
      </c>
      <c r="C1277" s="3">
        <v>5</v>
      </c>
      <c r="D1277" t="s">
        <v>53</v>
      </c>
      <c r="E1277">
        <v>538277</v>
      </c>
      <c r="F1277" t="s">
        <v>1562</v>
      </c>
      <c r="G1277" t="s">
        <v>1829</v>
      </c>
      <c r="H1277" s="4">
        <v>45820</v>
      </c>
      <c r="I1277" t="s">
        <v>1966</v>
      </c>
    </row>
    <row r="1278" spans="1:9" x14ac:dyDescent="0.25">
      <c r="A1278" t="s">
        <v>947</v>
      </c>
      <c r="B1278" t="s">
        <v>304</v>
      </c>
      <c r="C1278" s="3">
        <v>20</v>
      </c>
      <c r="D1278" t="s">
        <v>53</v>
      </c>
      <c r="E1278">
        <v>538278</v>
      </c>
      <c r="F1278" t="s">
        <v>1562</v>
      </c>
      <c r="G1278" t="s">
        <v>1830</v>
      </c>
      <c r="H1278" s="4">
        <v>45820</v>
      </c>
      <c r="I1278" t="s">
        <v>1966</v>
      </c>
    </row>
    <row r="1279" spans="1:9" x14ac:dyDescent="0.25">
      <c r="A1279" t="s">
        <v>946</v>
      </c>
      <c r="B1279" t="s">
        <v>304</v>
      </c>
      <c r="C1279" s="3">
        <v>5</v>
      </c>
      <c r="D1279" t="s">
        <v>53</v>
      </c>
      <c r="E1279">
        <v>538279</v>
      </c>
      <c r="F1279" t="s">
        <v>1562</v>
      </c>
      <c r="G1279" t="s">
        <v>1831</v>
      </c>
      <c r="H1279" s="4">
        <v>45820</v>
      </c>
      <c r="I1279" t="s">
        <v>1966</v>
      </c>
    </row>
    <row r="1280" spans="1:9" x14ac:dyDescent="0.25">
      <c r="A1280" t="s">
        <v>945</v>
      </c>
      <c r="B1280" t="s">
        <v>304</v>
      </c>
      <c r="C1280" s="3">
        <v>200</v>
      </c>
      <c r="D1280" t="s">
        <v>53</v>
      </c>
      <c r="E1280">
        <v>538280</v>
      </c>
      <c r="F1280" t="s">
        <v>1562</v>
      </c>
      <c r="G1280" t="s">
        <v>1832</v>
      </c>
      <c r="H1280" s="4">
        <v>45820</v>
      </c>
      <c r="I1280" t="s">
        <v>1966</v>
      </c>
    </row>
    <row r="1281" spans="1:9" x14ac:dyDescent="0.25">
      <c r="A1281" t="s">
        <v>944</v>
      </c>
      <c r="B1281" t="s">
        <v>304</v>
      </c>
      <c r="C1281" s="3">
        <v>5</v>
      </c>
      <c r="D1281" t="s">
        <v>53</v>
      </c>
      <c r="E1281">
        <v>538281</v>
      </c>
      <c r="F1281" t="s">
        <v>1562</v>
      </c>
      <c r="G1281" t="s">
        <v>1833</v>
      </c>
      <c r="H1281" s="4">
        <v>45820</v>
      </c>
      <c r="I1281" t="s">
        <v>1966</v>
      </c>
    </row>
    <row r="1282" spans="1:9" x14ac:dyDescent="0.25">
      <c r="A1282" t="s">
        <v>943</v>
      </c>
      <c r="B1282" t="s">
        <v>304</v>
      </c>
      <c r="C1282" s="3">
        <v>20</v>
      </c>
      <c r="D1282" t="s">
        <v>53</v>
      </c>
      <c r="E1282">
        <v>538282</v>
      </c>
      <c r="F1282" t="s">
        <v>1562</v>
      </c>
      <c r="G1282" t="s">
        <v>1834</v>
      </c>
      <c r="H1282" s="4">
        <v>45820</v>
      </c>
      <c r="I1282" t="s">
        <v>1966</v>
      </c>
    </row>
    <row r="1283" spans="1:9" x14ac:dyDescent="0.25">
      <c r="A1283" t="s">
        <v>317</v>
      </c>
      <c r="B1283" t="s">
        <v>304</v>
      </c>
      <c r="C1283" s="3">
        <v>75</v>
      </c>
      <c r="D1283" t="s">
        <v>53</v>
      </c>
      <c r="E1283">
        <v>538283</v>
      </c>
      <c r="F1283" t="s">
        <v>1562</v>
      </c>
      <c r="G1283" t="s">
        <v>1835</v>
      </c>
      <c r="H1283" s="4">
        <v>45820</v>
      </c>
      <c r="I1283" t="s">
        <v>1966</v>
      </c>
    </row>
    <row r="1284" spans="1:9" x14ac:dyDescent="0.25">
      <c r="A1284" t="s">
        <v>1018</v>
      </c>
      <c r="B1284" t="s">
        <v>304</v>
      </c>
      <c r="C1284" s="3">
        <v>100</v>
      </c>
      <c r="D1284" t="s">
        <v>53</v>
      </c>
      <c r="E1284">
        <v>538290</v>
      </c>
      <c r="F1284" t="s">
        <v>1562</v>
      </c>
      <c r="G1284" t="s">
        <v>1741</v>
      </c>
      <c r="H1284" s="4">
        <v>45820</v>
      </c>
      <c r="I1284" t="s">
        <v>1966</v>
      </c>
    </row>
    <row r="1285" spans="1:9" x14ac:dyDescent="0.25">
      <c r="A1285" t="s">
        <v>942</v>
      </c>
      <c r="B1285" t="s">
        <v>304</v>
      </c>
      <c r="C1285" s="3">
        <v>25</v>
      </c>
      <c r="D1285" t="s">
        <v>53</v>
      </c>
      <c r="E1285">
        <v>538320</v>
      </c>
      <c r="F1285" t="s">
        <v>1562</v>
      </c>
      <c r="G1285" t="s">
        <v>1836</v>
      </c>
      <c r="H1285" s="4">
        <v>45821</v>
      </c>
      <c r="I1285" t="s">
        <v>1966</v>
      </c>
    </row>
    <row r="1286" spans="1:9" x14ac:dyDescent="0.25">
      <c r="A1286" t="s">
        <v>590</v>
      </c>
      <c r="B1286" t="s">
        <v>304</v>
      </c>
      <c r="C1286" s="3">
        <v>20</v>
      </c>
      <c r="D1286" t="s">
        <v>53</v>
      </c>
      <c r="E1286">
        <v>538321</v>
      </c>
      <c r="F1286" t="s">
        <v>1562</v>
      </c>
      <c r="G1286" t="s">
        <v>1837</v>
      </c>
      <c r="H1286" s="4">
        <v>45821</v>
      </c>
      <c r="I1286" t="s">
        <v>1966</v>
      </c>
    </row>
    <row r="1287" spans="1:9" x14ac:dyDescent="0.25">
      <c r="A1287" t="s">
        <v>941</v>
      </c>
      <c r="B1287" t="s">
        <v>304</v>
      </c>
      <c r="C1287" s="3">
        <v>20</v>
      </c>
      <c r="D1287" t="s">
        <v>53</v>
      </c>
      <c r="E1287">
        <v>538322</v>
      </c>
      <c r="F1287" t="s">
        <v>1562</v>
      </c>
      <c r="G1287" t="s">
        <v>1838</v>
      </c>
      <c r="H1287" s="4">
        <v>45821</v>
      </c>
      <c r="I1287" t="s">
        <v>1966</v>
      </c>
    </row>
    <row r="1288" spans="1:9" x14ac:dyDescent="0.25">
      <c r="A1288" t="s">
        <v>940</v>
      </c>
      <c r="B1288" t="s">
        <v>304</v>
      </c>
      <c r="C1288" s="3">
        <v>10</v>
      </c>
      <c r="D1288" t="s">
        <v>53</v>
      </c>
      <c r="E1288">
        <v>538323</v>
      </c>
      <c r="F1288" t="s">
        <v>1562</v>
      </c>
      <c r="G1288" t="s">
        <v>1839</v>
      </c>
      <c r="H1288" s="4">
        <v>45821</v>
      </c>
      <c r="I1288" t="s">
        <v>1966</v>
      </c>
    </row>
    <row r="1289" spans="1:9" x14ac:dyDescent="0.25">
      <c r="A1289" t="s">
        <v>939</v>
      </c>
      <c r="B1289" t="s">
        <v>304</v>
      </c>
      <c r="C1289" s="3">
        <v>20</v>
      </c>
      <c r="D1289" t="s">
        <v>53</v>
      </c>
      <c r="E1289">
        <v>538324</v>
      </c>
      <c r="F1289" t="s">
        <v>1562</v>
      </c>
      <c r="G1289" t="s">
        <v>1840</v>
      </c>
      <c r="H1289" s="4">
        <v>45821</v>
      </c>
      <c r="I1289" t="s">
        <v>1966</v>
      </c>
    </row>
    <row r="1290" spans="1:9" x14ac:dyDescent="0.25">
      <c r="A1290" t="s">
        <v>938</v>
      </c>
      <c r="B1290" t="s">
        <v>304</v>
      </c>
      <c r="C1290" s="3">
        <v>20</v>
      </c>
      <c r="D1290" t="s">
        <v>53</v>
      </c>
      <c r="E1290">
        <v>538325</v>
      </c>
      <c r="F1290" t="s">
        <v>1562</v>
      </c>
      <c r="G1290" t="s">
        <v>1841</v>
      </c>
      <c r="H1290" s="4">
        <v>45821</v>
      </c>
      <c r="I1290" t="s">
        <v>1966</v>
      </c>
    </row>
    <row r="1291" spans="1:9" x14ac:dyDescent="0.25">
      <c r="A1291" t="s">
        <v>937</v>
      </c>
      <c r="B1291" t="s">
        <v>304</v>
      </c>
      <c r="C1291" s="3">
        <v>20</v>
      </c>
      <c r="D1291" t="s">
        <v>53</v>
      </c>
      <c r="E1291">
        <v>538326</v>
      </c>
      <c r="F1291" t="s">
        <v>1562</v>
      </c>
      <c r="G1291" t="s">
        <v>1842</v>
      </c>
      <c r="H1291" s="4">
        <v>45821</v>
      </c>
      <c r="I1291" t="s">
        <v>1966</v>
      </c>
    </row>
    <row r="1292" spans="1:9" x14ac:dyDescent="0.25">
      <c r="A1292" t="s">
        <v>936</v>
      </c>
      <c r="B1292" t="s">
        <v>304</v>
      </c>
      <c r="C1292" s="3">
        <v>300</v>
      </c>
      <c r="D1292" t="s">
        <v>53</v>
      </c>
      <c r="E1292">
        <v>538332</v>
      </c>
      <c r="F1292" t="s">
        <v>1562</v>
      </c>
      <c r="H1292" s="4">
        <v>45821</v>
      </c>
      <c r="I1292" t="s">
        <v>1966</v>
      </c>
    </row>
    <row r="1293" spans="1:9" x14ac:dyDescent="0.25">
      <c r="A1293" t="s">
        <v>510</v>
      </c>
      <c r="B1293" t="s">
        <v>304</v>
      </c>
      <c r="C1293" s="3">
        <v>65</v>
      </c>
      <c r="D1293" t="s">
        <v>53</v>
      </c>
      <c r="E1293">
        <v>539845</v>
      </c>
      <c r="F1293" t="s">
        <v>1562</v>
      </c>
      <c r="H1293" s="4">
        <v>45821</v>
      </c>
      <c r="I1293" t="s">
        <v>1966</v>
      </c>
    </row>
    <row r="1294" spans="1:9" x14ac:dyDescent="0.25">
      <c r="A1294" t="s">
        <v>509</v>
      </c>
      <c r="B1294" t="s">
        <v>304</v>
      </c>
      <c r="C1294" s="3">
        <v>65</v>
      </c>
      <c r="D1294" t="s">
        <v>53</v>
      </c>
      <c r="E1294">
        <v>539847</v>
      </c>
      <c r="F1294" t="s">
        <v>1562</v>
      </c>
      <c r="H1294" s="4">
        <v>45821</v>
      </c>
      <c r="I1294" t="s">
        <v>1966</v>
      </c>
    </row>
    <row r="1295" spans="1:9" x14ac:dyDescent="0.25">
      <c r="A1295" t="s">
        <v>508</v>
      </c>
      <c r="B1295" t="s">
        <v>304</v>
      </c>
      <c r="C1295" s="3">
        <v>20</v>
      </c>
      <c r="D1295" t="s">
        <v>53</v>
      </c>
      <c r="E1295">
        <v>539848</v>
      </c>
      <c r="F1295" t="s">
        <v>1562</v>
      </c>
      <c r="G1295" t="s">
        <v>1728</v>
      </c>
      <c r="H1295" s="4">
        <v>45821</v>
      </c>
      <c r="I1295" t="s">
        <v>1966</v>
      </c>
    </row>
    <row r="1296" spans="1:9" x14ac:dyDescent="0.25">
      <c r="A1296" t="s">
        <v>507</v>
      </c>
      <c r="B1296" t="s">
        <v>304</v>
      </c>
      <c r="C1296" s="3">
        <v>25</v>
      </c>
      <c r="D1296" t="s">
        <v>53</v>
      </c>
      <c r="E1296">
        <v>539849</v>
      </c>
      <c r="F1296" t="s">
        <v>1562</v>
      </c>
      <c r="G1296" t="s">
        <v>1733</v>
      </c>
      <c r="H1296" s="4">
        <v>45821</v>
      </c>
      <c r="I1296" t="s">
        <v>1966</v>
      </c>
    </row>
    <row r="1297" spans="1:9" x14ac:dyDescent="0.25">
      <c r="A1297" t="s">
        <v>506</v>
      </c>
      <c r="B1297" t="s">
        <v>304</v>
      </c>
      <c r="C1297" s="3">
        <v>10</v>
      </c>
      <c r="D1297" t="s">
        <v>53</v>
      </c>
      <c r="E1297">
        <v>539850</v>
      </c>
      <c r="F1297" t="s">
        <v>1562</v>
      </c>
      <c r="G1297" t="s">
        <v>1740</v>
      </c>
      <c r="H1297" s="4">
        <v>45821</v>
      </c>
      <c r="I1297" t="s">
        <v>1966</v>
      </c>
    </row>
    <row r="1298" spans="1:9" x14ac:dyDescent="0.25">
      <c r="A1298" t="s">
        <v>505</v>
      </c>
      <c r="B1298" t="s">
        <v>304</v>
      </c>
      <c r="C1298" s="3">
        <v>250</v>
      </c>
      <c r="D1298" t="s">
        <v>53</v>
      </c>
      <c r="E1298">
        <v>539851</v>
      </c>
      <c r="F1298" t="s">
        <v>1562</v>
      </c>
      <c r="G1298" t="s">
        <v>1713</v>
      </c>
      <c r="H1298" s="4">
        <v>45821</v>
      </c>
      <c r="I1298" t="s">
        <v>1966</v>
      </c>
    </row>
    <row r="1299" spans="1:9" x14ac:dyDescent="0.25">
      <c r="A1299" t="s">
        <v>504</v>
      </c>
      <c r="B1299" t="s">
        <v>304</v>
      </c>
      <c r="C1299" s="3">
        <v>25</v>
      </c>
      <c r="D1299" t="s">
        <v>53</v>
      </c>
      <c r="E1299">
        <v>539852</v>
      </c>
      <c r="F1299" t="s">
        <v>1562</v>
      </c>
      <c r="G1299" t="s">
        <v>1733</v>
      </c>
      <c r="H1299" s="4">
        <v>45821</v>
      </c>
      <c r="I1299" t="s">
        <v>1966</v>
      </c>
    </row>
    <row r="1300" spans="1:9" x14ac:dyDescent="0.25">
      <c r="A1300" t="s">
        <v>15</v>
      </c>
      <c r="B1300" t="s">
        <v>304</v>
      </c>
      <c r="C1300" s="3">
        <v>50</v>
      </c>
      <c r="D1300" t="s">
        <v>53</v>
      </c>
      <c r="E1300">
        <v>539853</v>
      </c>
      <c r="F1300" t="s">
        <v>1562</v>
      </c>
      <c r="G1300" t="s">
        <v>1690</v>
      </c>
      <c r="H1300" s="4">
        <v>45821</v>
      </c>
      <c r="I1300" t="s">
        <v>1966</v>
      </c>
    </row>
    <row r="1301" spans="1:9" x14ac:dyDescent="0.25">
      <c r="A1301" t="s">
        <v>503</v>
      </c>
      <c r="B1301" t="s">
        <v>304</v>
      </c>
      <c r="C1301" s="3">
        <v>25</v>
      </c>
      <c r="D1301" t="s">
        <v>53</v>
      </c>
      <c r="E1301">
        <v>539854</v>
      </c>
      <c r="F1301" t="s">
        <v>1562</v>
      </c>
      <c r="G1301" t="s">
        <v>1733</v>
      </c>
      <c r="H1301" s="4">
        <v>45821</v>
      </c>
      <c r="I1301" t="s">
        <v>1966</v>
      </c>
    </row>
    <row r="1302" spans="1:9" x14ac:dyDescent="0.25">
      <c r="A1302" t="s">
        <v>502</v>
      </c>
      <c r="B1302" t="s">
        <v>304</v>
      </c>
      <c r="C1302" s="3">
        <v>25</v>
      </c>
      <c r="D1302" t="s">
        <v>53</v>
      </c>
      <c r="E1302">
        <v>539855</v>
      </c>
      <c r="F1302" t="s">
        <v>1562</v>
      </c>
      <c r="G1302" t="s">
        <v>1733</v>
      </c>
      <c r="H1302" s="4">
        <v>45821</v>
      </c>
      <c r="I1302" t="s">
        <v>1966</v>
      </c>
    </row>
    <row r="1303" spans="1:9" x14ac:dyDescent="0.25">
      <c r="A1303" t="s">
        <v>501</v>
      </c>
      <c r="B1303" t="s">
        <v>304</v>
      </c>
      <c r="C1303" s="3">
        <v>25</v>
      </c>
      <c r="D1303" t="s">
        <v>53</v>
      </c>
      <c r="E1303">
        <v>539856</v>
      </c>
      <c r="F1303" t="s">
        <v>1562</v>
      </c>
      <c r="G1303" t="s">
        <v>1728</v>
      </c>
      <c r="H1303" s="4">
        <v>45821</v>
      </c>
      <c r="I1303" t="s">
        <v>1966</v>
      </c>
    </row>
    <row r="1304" spans="1:9" x14ac:dyDescent="0.25">
      <c r="A1304" t="s">
        <v>500</v>
      </c>
      <c r="B1304" t="s">
        <v>304</v>
      </c>
      <c r="C1304" s="3">
        <v>50</v>
      </c>
      <c r="D1304" t="s">
        <v>53</v>
      </c>
      <c r="E1304">
        <v>539857</v>
      </c>
      <c r="F1304" t="s">
        <v>1562</v>
      </c>
      <c r="G1304" t="s">
        <v>1728</v>
      </c>
      <c r="H1304" s="4">
        <v>45821</v>
      </c>
      <c r="I1304" t="s">
        <v>1966</v>
      </c>
    </row>
    <row r="1305" spans="1:9" x14ac:dyDescent="0.25">
      <c r="A1305" t="s">
        <v>499</v>
      </c>
      <c r="B1305" t="s">
        <v>304</v>
      </c>
      <c r="C1305" s="3">
        <v>25</v>
      </c>
      <c r="D1305" t="s">
        <v>53</v>
      </c>
      <c r="E1305">
        <v>539858</v>
      </c>
      <c r="F1305" t="s">
        <v>1562</v>
      </c>
      <c r="G1305" t="s">
        <v>1843</v>
      </c>
      <c r="H1305" s="4">
        <v>45821</v>
      </c>
      <c r="I1305" t="s">
        <v>1966</v>
      </c>
    </row>
    <row r="1306" spans="1:9" x14ac:dyDescent="0.25">
      <c r="A1306" t="s">
        <v>176</v>
      </c>
      <c r="B1306" t="s">
        <v>304</v>
      </c>
      <c r="C1306" s="3">
        <v>50</v>
      </c>
      <c r="D1306" t="s">
        <v>53</v>
      </c>
      <c r="E1306">
        <v>539859</v>
      </c>
      <c r="F1306" t="s">
        <v>1562</v>
      </c>
      <c r="G1306" t="s">
        <v>1728</v>
      </c>
      <c r="H1306" s="4">
        <v>45821</v>
      </c>
      <c r="I1306" t="s">
        <v>1966</v>
      </c>
    </row>
    <row r="1307" spans="1:9" x14ac:dyDescent="0.25">
      <c r="A1307" t="s">
        <v>498</v>
      </c>
      <c r="B1307" t="s">
        <v>304</v>
      </c>
      <c r="C1307" s="3">
        <v>50</v>
      </c>
      <c r="D1307" t="s">
        <v>53</v>
      </c>
      <c r="E1307">
        <v>539860</v>
      </c>
      <c r="F1307" t="s">
        <v>1562</v>
      </c>
      <c r="G1307" t="s">
        <v>1738</v>
      </c>
      <c r="H1307" s="4">
        <v>45821</v>
      </c>
      <c r="I1307" t="s">
        <v>1966</v>
      </c>
    </row>
    <row r="1308" spans="1:9" x14ac:dyDescent="0.25">
      <c r="A1308" t="s">
        <v>317</v>
      </c>
      <c r="B1308" t="s">
        <v>304</v>
      </c>
      <c r="C1308" s="3">
        <v>195</v>
      </c>
      <c r="D1308" t="s">
        <v>53</v>
      </c>
      <c r="E1308">
        <v>538347</v>
      </c>
      <c r="F1308" t="s">
        <v>1562</v>
      </c>
      <c r="G1308" t="s">
        <v>1844</v>
      </c>
      <c r="H1308" s="4">
        <v>45822</v>
      </c>
      <c r="I1308" t="s">
        <v>1966</v>
      </c>
    </row>
    <row r="1309" spans="1:9" x14ac:dyDescent="0.25">
      <c r="A1309" t="s">
        <v>317</v>
      </c>
      <c r="B1309" t="s">
        <v>304</v>
      </c>
      <c r="C1309" s="3">
        <v>70</v>
      </c>
      <c r="D1309" t="s">
        <v>53</v>
      </c>
      <c r="E1309">
        <v>538454</v>
      </c>
      <c r="F1309" t="s">
        <v>1562</v>
      </c>
      <c r="G1309" t="s">
        <v>1857</v>
      </c>
      <c r="H1309" s="4">
        <v>45822</v>
      </c>
      <c r="I1309" t="s">
        <v>1966</v>
      </c>
    </row>
    <row r="1310" spans="1:9" x14ac:dyDescent="0.25">
      <c r="A1310" t="s">
        <v>317</v>
      </c>
      <c r="B1310" t="s">
        <v>304</v>
      </c>
      <c r="C1310" s="3">
        <v>215</v>
      </c>
      <c r="D1310" t="s">
        <v>53</v>
      </c>
      <c r="E1310">
        <v>538455</v>
      </c>
      <c r="F1310" t="s">
        <v>1562</v>
      </c>
      <c r="G1310" t="s">
        <v>1858</v>
      </c>
      <c r="H1310" s="4">
        <v>45822</v>
      </c>
      <c r="I1310" t="s">
        <v>1966</v>
      </c>
    </row>
    <row r="1311" spans="1:9" x14ac:dyDescent="0.25">
      <c r="A1311" t="s">
        <v>317</v>
      </c>
      <c r="B1311" t="s">
        <v>304</v>
      </c>
      <c r="C1311" s="3">
        <v>2470</v>
      </c>
      <c r="D1311" t="s">
        <v>53</v>
      </c>
      <c r="E1311">
        <v>538456</v>
      </c>
      <c r="F1311" t="s">
        <v>1562</v>
      </c>
      <c r="G1311" t="s">
        <v>1630</v>
      </c>
      <c r="H1311" s="4">
        <v>45822</v>
      </c>
      <c r="I1311" t="s">
        <v>1966</v>
      </c>
    </row>
    <row r="1312" spans="1:9" x14ac:dyDescent="0.25">
      <c r="A1312" t="s">
        <v>317</v>
      </c>
      <c r="B1312" t="s">
        <v>304</v>
      </c>
      <c r="C1312" s="3">
        <v>195</v>
      </c>
      <c r="D1312" t="s">
        <v>53</v>
      </c>
      <c r="E1312">
        <v>538457</v>
      </c>
      <c r="F1312" t="s">
        <v>1562</v>
      </c>
      <c r="G1312" t="s">
        <v>1859</v>
      </c>
      <c r="H1312" s="4">
        <v>45822</v>
      </c>
      <c r="I1312" t="s">
        <v>1966</v>
      </c>
    </row>
    <row r="1313" spans="1:9" x14ac:dyDescent="0.25">
      <c r="A1313" t="s">
        <v>929</v>
      </c>
      <c r="B1313" t="s">
        <v>304</v>
      </c>
      <c r="C1313" s="3">
        <v>100</v>
      </c>
      <c r="D1313" t="s">
        <v>53</v>
      </c>
      <c r="E1313">
        <v>538383</v>
      </c>
      <c r="F1313" t="s">
        <v>1562</v>
      </c>
      <c r="G1313" t="s">
        <v>1845</v>
      </c>
      <c r="H1313" s="4">
        <v>45822</v>
      </c>
      <c r="I1313" t="s">
        <v>1966</v>
      </c>
    </row>
    <row r="1314" spans="1:9" x14ac:dyDescent="0.25">
      <c r="A1314" t="s">
        <v>928</v>
      </c>
      <c r="B1314" t="s">
        <v>304</v>
      </c>
      <c r="C1314" s="3">
        <v>40</v>
      </c>
      <c r="D1314" t="s">
        <v>53</v>
      </c>
      <c r="E1314">
        <v>538384</v>
      </c>
      <c r="F1314" t="s">
        <v>1562</v>
      </c>
      <c r="G1314" t="s">
        <v>1846</v>
      </c>
      <c r="H1314" s="4">
        <v>45822</v>
      </c>
      <c r="I1314" t="s">
        <v>1966</v>
      </c>
    </row>
    <row r="1315" spans="1:9" x14ac:dyDescent="0.25">
      <c r="A1315" t="s">
        <v>37</v>
      </c>
      <c r="B1315" t="s">
        <v>304</v>
      </c>
      <c r="C1315" s="3">
        <v>100</v>
      </c>
      <c r="D1315" t="s">
        <v>53</v>
      </c>
      <c r="E1315">
        <v>538385</v>
      </c>
      <c r="F1315" t="s">
        <v>1562</v>
      </c>
      <c r="G1315" t="s">
        <v>1847</v>
      </c>
      <c r="H1315" s="4">
        <v>45822</v>
      </c>
      <c r="I1315" t="s">
        <v>1966</v>
      </c>
    </row>
    <row r="1316" spans="1:9" x14ac:dyDescent="0.25">
      <c r="A1316" t="s">
        <v>927</v>
      </c>
      <c r="B1316" t="s">
        <v>304</v>
      </c>
      <c r="C1316" s="3">
        <v>100</v>
      </c>
      <c r="D1316" t="s">
        <v>53</v>
      </c>
      <c r="E1316">
        <v>538386</v>
      </c>
      <c r="F1316" t="s">
        <v>1562</v>
      </c>
      <c r="G1316" t="s">
        <v>1847</v>
      </c>
      <c r="H1316" s="4">
        <v>45822</v>
      </c>
      <c r="I1316" t="s">
        <v>1966</v>
      </c>
    </row>
    <row r="1317" spans="1:9" x14ac:dyDescent="0.25">
      <c r="A1317" t="s">
        <v>927</v>
      </c>
      <c r="B1317" t="s">
        <v>304</v>
      </c>
      <c r="C1317" s="3">
        <v>100</v>
      </c>
      <c r="D1317" t="s">
        <v>53</v>
      </c>
      <c r="E1317">
        <v>538387</v>
      </c>
      <c r="F1317" t="s">
        <v>1562</v>
      </c>
      <c r="G1317" t="s">
        <v>1847</v>
      </c>
      <c r="H1317" s="4">
        <v>45822</v>
      </c>
      <c r="I1317" t="s">
        <v>1966</v>
      </c>
    </row>
    <row r="1318" spans="1:9" x14ac:dyDescent="0.25">
      <c r="A1318" t="s">
        <v>926</v>
      </c>
      <c r="B1318" t="s">
        <v>304</v>
      </c>
      <c r="C1318" s="3">
        <v>100</v>
      </c>
      <c r="D1318" t="s">
        <v>53</v>
      </c>
      <c r="E1318">
        <v>538388</v>
      </c>
      <c r="F1318" t="s">
        <v>1562</v>
      </c>
      <c r="G1318" t="s">
        <v>1847</v>
      </c>
      <c r="H1318" s="4">
        <v>45822</v>
      </c>
      <c r="I1318" t="s">
        <v>1966</v>
      </c>
    </row>
    <row r="1319" spans="1:9" x14ac:dyDescent="0.25">
      <c r="A1319" t="s">
        <v>925</v>
      </c>
      <c r="B1319" t="s">
        <v>304</v>
      </c>
      <c r="C1319" s="3">
        <v>250</v>
      </c>
      <c r="D1319" t="s">
        <v>53</v>
      </c>
      <c r="E1319">
        <v>538389</v>
      </c>
      <c r="F1319" t="s">
        <v>1562</v>
      </c>
      <c r="G1319" t="s">
        <v>1847</v>
      </c>
      <c r="H1319" s="4">
        <v>45822</v>
      </c>
      <c r="I1319" t="s">
        <v>1966</v>
      </c>
    </row>
    <row r="1320" spans="1:9" x14ac:dyDescent="0.25">
      <c r="A1320" t="s">
        <v>924</v>
      </c>
      <c r="B1320" t="s">
        <v>304</v>
      </c>
      <c r="C1320" s="3">
        <v>50</v>
      </c>
      <c r="D1320" t="s">
        <v>53</v>
      </c>
      <c r="E1320">
        <v>538390</v>
      </c>
      <c r="F1320" t="s">
        <v>1562</v>
      </c>
      <c r="G1320" t="s">
        <v>1847</v>
      </c>
      <c r="H1320" s="4">
        <v>45822</v>
      </c>
      <c r="I1320" t="s">
        <v>1966</v>
      </c>
    </row>
    <row r="1321" spans="1:9" x14ac:dyDescent="0.25">
      <c r="A1321" t="s">
        <v>923</v>
      </c>
      <c r="B1321" t="s">
        <v>304</v>
      </c>
      <c r="C1321" s="3">
        <v>15</v>
      </c>
      <c r="D1321" t="s">
        <v>53</v>
      </c>
      <c r="E1321">
        <v>538391</v>
      </c>
      <c r="F1321" t="s">
        <v>1562</v>
      </c>
      <c r="G1321" t="s">
        <v>1848</v>
      </c>
      <c r="H1321" s="4">
        <v>45822</v>
      </c>
      <c r="I1321" t="s">
        <v>1966</v>
      </c>
    </row>
    <row r="1322" spans="1:9" x14ac:dyDescent="0.25">
      <c r="A1322" t="s">
        <v>711</v>
      </c>
      <c r="B1322" t="s">
        <v>304</v>
      </c>
      <c r="C1322" s="3">
        <v>100</v>
      </c>
      <c r="D1322" t="s">
        <v>53</v>
      </c>
      <c r="E1322">
        <v>538392</v>
      </c>
      <c r="F1322" t="s">
        <v>1562</v>
      </c>
      <c r="G1322" t="s">
        <v>1849</v>
      </c>
      <c r="H1322" s="4">
        <v>45822</v>
      </c>
      <c r="I1322" t="s">
        <v>1966</v>
      </c>
    </row>
    <row r="1323" spans="1:9" x14ac:dyDescent="0.25">
      <c r="A1323" t="s">
        <v>922</v>
      </c>
      <c r="B1323" t="s">
        <v>304</v>
      </c>
      <c r="C1323" s="3">
        <v>20</v>
      </c>
      <c r="D1323" t="s">
        <v>53</v>
      </c>
      <c r="E1323">
        <v>538393</v>
      </c>
      <c r="F1323" t="s">
        <v>1562</v>
      </c>
      <c r="G1323" t="s">
        <v>1848</v>
      </c>
      <c r="H1323" s="4">
        <v>45822</v>
      </c>
      <c r="I1323" t="s">
        <v>1966</v>
      </c>
    </row>
    <row r="1324" spans="1:9" x14ac:dyDescent="0.25">
      <c r="A1324" t="s">
        <v>921</v>
      </c>
      <c r="B1324" t="s">
        <v>304</v>
      </c>
      <c r="C1324" s="3">
        <v>20</v>
      </c>
      <c r="D1324" t="s">
        <v>53</v>
      </c>
      <c r="E1324">
        <v>538394</v>
      </c>
      <c r="F1324" t="s">
        <v>1562</v>
      </c>
      <c r="G1324" t="s">
        <v>1848</v>
      </c>
      <c r="H1324" s="4">
        <v>45822</v>
      </c>
      <c r="I1324" t="s">
        <v>1966</v>
      </c>
    </row>
    <row r="1325" spans="1:9" x14ac:dyDescent="0.25">
      <c r="A1325" t="s">
        <v>920</v>
      </c>
      <c r="B1325" t="s">
        <v>304</v>
      </c>
      <c r="C1325" s="3">
        <v>20</v>
      </c>
      <c r="D1325" t="s">
        <v>53</v>
      </c>
      <c r="E1325">
        <v>538395</v>
      </c>
      <c r="F1325" t="s">
        <v>1562</v>
      </c>
      <c r="G1325" t="s">
        <v>1848</v>
      </c>
      <c r="H1325" s="4">
        <v>45822</v>
      </c>
      <c r="I1325" t="s">
        <v>1966</v>
      </c>
    </row>
    <row r="1326" spans="1:9" x14ac:dyDescent="0.25">
      <c r="A1326" t="s">
        <v>919</v>
      </c>
      <c r="B1326" t="s">
        <v>304</v>
      </c>
      <c r="C1326" s="3">
        <v>5</v>
      </c>
      <c r="D1326" t="s">
        <v>53</v>
      </c>
      <c r="E1326">
        <v>538396</v>
      </c>
      <c r="F1326" t="s">
        <v>1562</v>
      </c>
      <c r="G1326" t="s">
        <v>1850</v>
      </c>
      <c r="H1326" s="4">
        <v>45822</v>
      </c>
      <c r="I1326" t="s">
        <v>1966</v>
      </c>
    </row>
    <row r="1327" spans="1:9" x14ac:dyDescent="0.25">
      <c r="A1327" t="s">
        <v>317</v>
      </c>
      <c r="B1327" t="s">
        <v>304</v>
      </c>
      <c r="C1327" s="3">
        <v>65</v>
      </c>
      <c r="D1327" t="s">
        <v>53</v>
      </c>
      <c r="E1327">
        <v>538397</v>
      </c>
      <c r="F1327" t="s">
        <v>1562</v>
      </c>
      <c r="G1327" t="s">
        <v>1848</v>
      </c>
      <c r="H1327" s="4">
        <v>45822</v>
      </c>
      <c r="I1327" t="s">
        <v>1966</v>
      </c>
    </row>
    <row r="1328" spans="1:9" x14ac:dyDescent="0.25">
      <c r="A1328" t="s">
        <v>29</v>
      </c>
      <c r="B1328" t="s">
        <v>304</v>
      </c>
      <c r="C1328" s="3">
        <v>20</v>
      </c>
      <c r="D1328" t="s">
        <v>53</v>
      </c>
      <c r="E1328">
        <v>538398</v>
      </c>
      <c r="F1328" t="s">
        <v>1562</v>
      </c>
      <c r="G1328" t="s">
        <v>1851</v>
      </c>
      <c r="H1328" s="4">
        <v>45822</v>
      </c>
      <c r="I1328" t="s">
        <v>1966</v>
      </c>
    </row>
    <row r="1329" spans="1:9" x14ac:dyDescent="0.25">
      <c r="A1329" t="s">
        <v>323</v>
      </c>
      <c r="B1329" t="s">
        <v>304</v>
      </c>
      <c r="C1329" s="3">
        <v>50</v>
      </c>
      <c r="D1329" t="s">
        <v>53</v>
      </c>
      <c r="E1329">
        <v>538399</v>
      </c>
      <c r="F1329" t="s">
        <v>1562</v>
      </c>
      <c r="G1329" t="s">
        <v>1852</v>
      </c>
      <c r="H1329" s="4">
        <v>45822</v>
      </c>
      <c r="I1329" t="s">
        <v>1966</v>
      </c>
    </row>
    <row r="1330" spans="1:9" x14ac:dyDescent="0.25">
      <c r="A1330" t="s">
        <v>324</v>
      </c>
      <c r="B1330" t="s">
        <v>304</v>
      </c>
      <c r="C1330" s="3">
        <v>20</v>
      </c>
      <c r="D1330" t="s">
        <v>53</v>
      </c>
      <c r="E1330">
        <v>538400</v>
      </c>
      <c r="F1330" t="s">
        <v>1562</v>
      </c>
      <c r="G1330" t="s">
        <v>1852</v>
      </c>
      <c r="H1330" s="4">
        <v>45822</v>
      </c>
      <c r="I1330" t="s">
        <v>1966</v>
      </c>
    </row>
    <row r="1331" spans="1:9" x14ac:dyDescent="0.25">
      <c r="A1331" t="s">
        <v>918</v>
      </c>
      <c r="B1331" t="s">
        <v>304</v>
      </c>
      <c r="C1331" s="3">
        <v>50</v>
      </c>
      <c r="D1331" t="s">
        <v>53</v>
      </c>
      <c r="E1331">
        <v>538401</v>
      </c>
      <c r="F1331" t="s">
        <v>1562</v>
      </c>
      <c r="G1331" t="s">
        <v>1853</v>
      </c>
      <c r="H1331" s="4">
        <v>45822</v>
      </c>
      <c r="I1331" t="s">
        <v>1966</v>
      </c>
    </row>
    <row r="1332" spans="1:9" x14ac:dyDescent="0.25">
      <c r="A1332" t="s">
        <v>917</v>
      </c>
      <c r="B1332" t="s">
        <v>304</v>
      </c>
      <c r="C1332" s="3">
        <v>20</v>
      </c>
      <c r="D1332" t="s">
        <v>53</v>
      </c>
      <c r="E1332">
        <v>538402</v>
      </c>
      <c r="F1332" t="s">
        <v>1562</v>
      </c>
      <c r="G1332" t="s">
        <v>1853</v>
      </c>
      <c r="H1332" s="4">
        <v>45822</v>
      </c>
      <c r="I1332" t="s">
        <v>1966</v>
      </c>
    </row>
    <row r="1333" spans="1:9" x14ac:dyDescent="0.25">
      <c r="A1333" t="s">
        <v>187</v>
      </c>
      <c r="B1333" t="s">
        <v>304</v>
      </c>
      <c r="C1333" s="3">
        <v>20</v>
      </c>
      <c r="D1333" t="s">
        <v>53</v>
      </c>
      <c r="E1333">
        <v>538403</v>
      </c>
      <c r="F1333" t="s">
        <v>1562</v>
      </c>
      <c r="G1333" t="s">
        <v>1854</v>
      </c>
      <c r="H1333" s="4">
        <v>45822</v>
      </c>
      <c r="I1333" t="s">
        <v>1966</v>
      </c>
    </row>
    <row r="1334" spans="1:9" x14ac:dyDescent="0.25">
      <c r="A1334" t="s">
        <v>916</v>
      </c>
      <c r="B1334" t="s">
        <v>304</v>
      </c>
      <c r="C1334" s="3">
        <v>20</v>
      </c>
      <c r="D1334" t="s">
        <v>53</v>
      </c>
      <c r="E1334">
        <v>538404</v>
      </c>
      <c r="F1334" t="s">
        <v>1562</v>
      </c>
      <c r="G1334" t="s">
        <v>1854</v>
      </c>
      <c r="H1334" s="4">
        <v>45822</v>
      </c>
      <c r="I1334" t="s">
        <v>1966</v>
      </c>
    </row>
    <row r="1335" spans="1:9" x14ac:dyDescent="0.25">
      <c r="A1335" t="s">
        <v>915</v>
      </c>
      <c r="B1335" t="s">
        <v>304</v>
      </c>
      <c r="C1335" s="3">
        <v>20</v>
      </c>
      <c r="D1335" t="s">
        <v>53</v>
      </c>
      <c r="E1335">
        <v>538405</v>
      </c>
      <c r="F1335" t="s">
        <v>1562</v>
      </c>
      <c r="G1335" t="s">
        <v>1854</v>
      </c>
      <c r="H1335" s="4">
        <v>45822</v>
      </c>
      <c r="I1335" t="s">
        <v>1966</v>
      </c>
    </row>
    <row r="1336" spans="1:9" x14ac:dyDescent="0.25">
      <c r="A1336" t="s">
        <v>914</v>
      </c>
      <c r="B1336" t="s">
        <v>304</v>
      </c>
      <c r="C1336" s="3">
        <v>20</v>
      </c>
      <c r="D1336" t="s">
        <v>53</v>
      </c>
      <c r="E1336">
        <v>538406</v>
      </c>
      <c r="F1336" t="s">
        <v>1562</v>
      </c>
      <c r="G1336" t="s">
        <v>1854</v>
      </c>
      <c r="H1336" s="4">
        <v>45822</v>
      </c>
      <c r="I1336" t="s">
        <v>1966</v>
      </c>
    </row>
    <row r="1337" spans="1:9" x14ac:dyDescent="0.25">
      <c r="A1337" t="s">
        <v>913</v>
      </c>
      <c r="B1337" t="s">
        <v>304</v>
      </c>
      <c r="C1337" s="3">
        <v>20</v>
      </c>
      <c r="D1337" t="s">
        <v>53</v>
      </c>
      <c r="E1337">
        <v>538407</v>
      </c>
      <c r="F1337" t="s">
        <v>1562</v>
      </c>
      <c r="G1337" t="s">
        <v>1854</v>
      </c>
      <c r="H1337" s="4">
        <v>45822</v>
      </c>
      <c r="I1337" t="s">
        <v>1966</v>
      </c>
    </row>
    <row r="1338" spans="1:9" x14ac:dyDescent="0.25">
      <c r="A1338" t="s">
        <v>912</v>
      </c>
      <c r="B1338" t="s">
        <v>304</v>
      </c>
      <c r="C1338" s="3">
        <v>20</v>
      </c>
      <c r="D1338" t="s">
        <v>53</v>
      </c>
      <c r="E1338">
        <v>538408</v>
      </c>
      <c r="F1338" t="s">
        <v>1562</v>
      </c>
      <c r="G1338" t="s">
        <v>1854</v>
      </c>
      <c r="H1338" s="4">
        <v>45822</v>
      </c>
      <c r="I1338" t="s">
        <v>1966</v>
      </c>
    </row>
    <row r="1339" spans="1:9" x14ac:dyDescent="0.25">
      <c r="A1339" t="s">
        <v>911</v>
      </c>
      <c r="B1339" t="s">
        <v>304</v>
      </c>
      <c r="C1339" s="3">
        <v>10</v>
      </c>
      <c r="D1339" t="s">
        <v>53</v>
      </c>
      <c r="E1339">
        <v>538409</v>
      </c>
      <c r="F1339" t="s">
        <v>1562</v>
      </c>
      <c r="G1339" t="s">
        <v>1854</v>
      </c>
      <c r="H1339" s="4">
        <v>45822</v>
      </c>
      <c r="I1339" t="s">
        <v>1966</v>
      </c>
    </row>
    <row r="1340" spans="1:9" x14ac:dyDescent="0.25">
      <c r="A1340" t="s">
        <v>910</v>
      </c>
      <c r="B1340" t="s">
        <v>304</v>
      </c>
      <c r="C1340" s="3">
        <v>10</v>
      </c>
      <c r="D1340" t="s">
        <v>53</v>
      </c>
      <c r="E1340">
        <v>538410</v>
      </c>
      <c r="F1340" t="s">
        <v>1562</v>
      </c>
      <c r="G1340" t="s">
        <v>1854</v>
      </c>
      <c r="H1340" s="4">
        <v>45822</v>
      </c>
      <c r="I1340" t="s">
        <v>1966</v>
      </c>
    </row>
    <row r="1341" spans="1:9" x14ac:dyDescent="0.25">
      <c r="A1341" t="s">
        <v>317</v>
      </c>
      <c r="B1341" t="s">
        <v>304</v>
      </c>
      <c r="C1341" s="3">
        <v>85</v>
      </c>
      <c r="D1341" t="s">
        <v>53</v>
      </c>
      <c r="E1341">
        <v>538411</v>
      </c>
      <c r="F1341" t="s">
        <v>1562</v>
      </c>
      <c r="G1341" t="s">
        <v>1854</v>
      </c>
      <c r="H1341" s="4">
        <v>45822</v>
      </c>
      <c r="I1341" t="s">
        <v>1966</v>
      </c>
    </row>
    <row r="1342" spans="1:9" x14ac:dyDescent="0.25">
      <c r="A1342" t="s">
        <v>909</v>
      </c>
      <c r="B1342" t="s">
        <v>304</v>
      </c>
      <c r="C1342" s="3">
        <v>25</v>
      </c>
      <c r="D1342" t="s">
        <v>53</v>
      </c>
      <c r="E1342">
        <v>538412</v>
      </c>
      <c r="F1342" t="s">
        <v>1562</v>
      </c>
      <c r="G1342" t="s">
        <v>1855</v>
      </c>
      <c r="H1342" s="4">
        <v>45822</v>
      </c>
      <c r="I1342" t="s">
        <v>1966</v>
      </c>
    </row>
    <row r="1343" spans="1:9" x14ac:dyDescent="0.25">
      <c r="A1343" t="s">
        <v>908</v>
      </c>
      <c r="B1343" t="s">
        <v>304</v>
      </c>
      <c r="C1343" s="3">
        <v>10</v>
      </c>
      <c r="D1343" t="s">
        <v>53</v>
      </c>
      <c r="E1343">
        <v>538413</v>
      </c>
      <c r="F1343" t="s">
        <v>1562</v>
      </c>
      <c r="G1343" t="s">
        <v>1855</v>
      </c>
      <c r="H1343" s="4">
        <v>45822</v>
      </c>
      <c r="I1343" t="s">
        <v>1966</v>
      </c>
    </row>
    <row r="1344" spans="1:9" x14ac:dyDescent="0.25">
      <c r="A1344" t="s">
        <v>12</v>
      </c>
      <c r="B1344" t="s">
        <v>304</v>
      </c>
      <c r="C1344" s="3">
        <v>50</v>
      </c>
      <c r="D1344" t="s">
        <v>53</v>
      </c>
      <c r="E1344">
        <v>538414</v>
      </c>
      <c r="F1344" t="s">
        <v>1562</v>
      </c>
      <c r="G1344" t="s">
        <v>1855</v>
      </c>
      <c r="H1344" s="4">
        <v>45822</v>
      </c>
      <c r="I1344" t="s">
        <v>1966</v>
      </c>
    </row>
    <row r="1345" spans="1:9" x14ac:dyDescent="0.25">
      <c r="A1345" t="s">
        <v>317</v>
      </c>
      <c r="B1345" t="s">
        <v>304</v>
      </c>
      <c r="C1345" s="3">
        <v>25</v>
      </c>
      <c r="D1345" t="s">
        <v>53</v>
      </c>
      <c r="E1345">
        <v>538415</v>
      </c>
      <c r="F1345" t="s">
        <v>1562</v>
      </c>
      <c r="G1345" t="s">
        <v>1855</v>
      </c>
      <c r="H1345" s="4">
        <v>45822</v>
      </c>
      <c r="I1345" t="s">
        <v>1966</v>
      </c>
    </row>
    <row r="1346" spans="1:9" x14ac:dyDescent="0.25">
      <c r="A1346" t="s">
        <v>907</v>
      </c>
      <c r="B1346" t="s">
        <v>304</v>
      </c>
      <c r="C1346" s="3">
        <v>20</v>
      </c>
      <c r="D1346" t="s">
        <v>53</v>
      </c>
      <c r="E1346">
        <v>538416</v>
      </c>
      <c r="F1346" t="s">
        <v>1562</v>
      </c>
      <c r="G1346" t="s">
        <v>1856</v>
      </c>
      <c r="H1346" s="4">
        <v>45822</v>
      </c>
      <c r="I1346" t="s">
        <v>1966</v>
      </c>
    </row>
    <row r="1347" spans="1:9" x14ac:dyDescent="0.25">
      <c r="A1347" t="s">
        <v>906</v>
      </c>
      <c r="B1347" t="s">
        <v>304</v>
      </c>
      <c r="C1347" s="3">
        <v>20</v>
      </c>
      <c r="D1347" t="s">
        <v>53</v>
      </c>
      <c r="E1347">
        <v>538417</v>
      </c>
      <c r="F1347" t="s">
        <v>1562</v>
      </c>
      <c r="G1347" t="s">
        <v>1856</v>
      </c>
      <c r="H1347" s="4">
        <v>45822</v>
      </c>
      <c r="I1347" t="s">
        <v>1966</v>
      </c>
    </row>
    <row r="1348" spans="1:9" x14ac:dyDescent="0.25">
      <c r="A1348" t="s">
        <v>903</v>
      </c>
      <c r="B1348" t="s">
        <v>304</v>
      </c>
      <c r="C1348" s="3">
        <v>20</v>
      </c>
      <c r="D1348" t="s">
        <v>53</v>
      </c>
      <c r="E1348">
        <v>538418</v>
      </c>
      <c r="F1348" t="s">
        <v>1562</v>
      </c>
      <c r="G1348" t="s">
        <v>1856</v>
      </c>
      <c r="H1348" s="4">
        <v>45822</v>
      </c>
      <c r="I1348" t="s">
        <v>1966</v>
      </c>
    </row>
    <row r="1349" spans="1:9" x14ac:dyDescent="0.25">
      <c r="A1349" t="s">
        <v>905</v>
      </c>
      <c r="B1349" t="s">
        <v>304</v>
      </c>
      <c r="C1349" s="3">
        <v>10</v>
      </c>
      <c r="D1349" t="s">
        <v>53</v>
      </c>
      <c r="E1349">
        <v>538419</v>
      </c>
      <c r="F1349" t="s">
        <v>1562</v>
      </c>
      <c r="G1349" t="s">
        <v>1740</v>
      </c>
      <c r="H1349" s="4">
        <v>45822</v>
      </c>
      <c r="I1349" t="s">
        <v>1966</v>
      </c>
    </row>
    <row r="1350" spans="1:9" x14ac:dyDescent="0.25">
      <c r="A1350" t="s">
        <v>904</v>
      </c>
      <c r="B1350" t="s">
        <v>304</v>
      </c>
      <c r="C1350" s="3">
        <v>20</v>
      </c>
      <c r="D1350" t="s">
        <v>53</v>
      </c>
      <c r="E1350">
        <v>538420</v>
      </c>
      <c r="F1350" t="s">
        <v>1562</v>
      </c>
      <c r="G1350" t="s">
        <v>1846</v>
      </c>
      <c r="H1350" s="4">
        <v>45822</v>
      </c>
      <c r="I1350" t="s">
        <v>1966</v>
      </c>
    </row>
    <row r="1351" spans="1:9" x14ac:dyDescent="0.25">
      <c r="A1351" t="s">
        <v>903</v>
      </c>
      <c r="B1351" t="s">
        <v>304</v>
      </c>
      <c r="C1351" s="3">
        <v>25</v>
      </c>
      <c r="D1351" t="s">
        <v>53</v>
      </c>
      <c r="E1351">
        <v>538421</v>
      </c>
      <c r="F1351" t="s">
        <v>1562</v>
      </c>
      <c r="G1351" t="s">
        <v>1846</v>
      </c>
      <c r="H1351" s="4">
        <v>45822</v>
      </c>
      <c r="I1351" t="s">
        <v>1966</v>
      </c>
    </row>
    <row r="1352" spans="1:9" x14ac:dyDescent="0.25">
      <c r="A1352" t="s">
        <v>902</v>
      </c>
      <c r="B1352" t="s">
        <v>304</v>
      </c>
      <c r="C1352" s="3">
        <v>25</v>
      </c>
      <c r="D1352" t="s">
        <v>53</v>
      </c>
      <c r="E1352">
        <v>538422</v>
      </c>
      <c r="F1352" t="s">
        <v>1562</v>
      </c>
      <c r="G1352" t="s">
        <v>1846</v>
      </c>
      <c r="H1352" s="4">
        <v>45822</v>
      </c>
      <c r="I1352" t="s">
        <v>1966</v>
      </c>
    </row>
    <row r="1353" spans="1:9" x14ac:dyDescent="0.25">
      <c r="A1353" t="s">
        <v>901</v>
      </c>
      <c r="B1353" t="s">
        <v>304</v>
      </c>
      <c r="C1353" s="3">
        <v>20</v>
      </c>
      <c r="D1353" t="s">
        <v>53</v>
      </c>
      <c r="E1353">
        <v>538423</v>
      </c>
      <c r="F1353" t="s">
        <v>1562</v>
      </c>
      <c r="G1353" t="s">
        <v>1847</v>
      </c>
      <c r="H1353" s="4">
        <v>45822</v>
      </c>
      <c r="I1353" t="s">
        <v>1966</v>
      </c>
    </row>
    <row r="1354" spans="1:9" x14ac:dyDescent="0.25">
      <c r="A1354" t="s">
        <v>900</v>
      </c>
      <c r="B1354" t="s">
        <v>304</v>
      </c>
      <c r="C1354" s="3">
        <v>20</v>
      </c>
      <c r="D1354" t="s">
        <v>53</v>
      </c>
      <c r="E1354">
        <v>538424</v>
      </c>
      <c r="F1354" t="s">
        <v>1562</v>
      </c>
      <c r="G1354" t="s">
        <v>1847</v>
      </c>
      <c r="H1354" s="4">
        <v>45822</v>
      </c>
      <c r="I1354" t="s">
        <v>1966</v>
      </c>
    </row>
    <row r="1355" spans="1:9" x14ac:dyDescent="0.25">
      <c r="A1355" t="s">
        <v>899</v>
      </c>
      <c r="B1355" t="s">
        <v>304</v>
      </c>
      <c r="C1355" s="3">
        <v>100</v>
      </c>
      <c r="D1355" t="s">
        <v>53</v>
      </c>
      <c r="E1355">
        <v>538425</v>
      </c>
      <c r="F1355" t="s">
        <v>1562</v>
      </c>
      <c r="G1355" t="s">
        <v>1847</v>
      </c>
      <c r="H1355" s="4">
        <v>45822</v>
      </c>
      <c r="I1355" t="s">
        <v>1966</v>
      </c>
    </row>
    <row r="1356" spans="1:9" x14ac:dyDescent="0.25">
      <c r="A1356" t="s">
        <v>898</v>
      </c>
      <c r="B1356" t="s">
        <v>304</v>
      </c>
      <c r="C1356" s="3">
        <v>50</v>
      </c>
      <c r="D1356" t="s">
        <v>53</v>
      </c>
      <c r="E1356">
        <v>538426</v>
      </c>
      <c r="F1356" t="s">
        <v>1562</v>
      </c>
      <c r="G1356" t="s">
        <v>1847</v>
      </c>
      <c r="H1356" s="4">
        <v>45822</v>
      </c>
      <c r="I1356" t="s">
        <v>1966</v>
      </c>
    </row>
    <row r="1357" spans="1:9" x14ac:dyDescent="0.25">
      <c r="A1357" t="s">
        <v>897</v>
      </c>
      <c r="B1357" t="s">
        <v>304</v>
      </c>
      <c r="C1357" s="3">
        <v>20</v>
      </c>
      <c r="D1357" t="s">
        <v>53</v>
      </c>
      <c r="E1357">
        <v>538427</v>
      </c>
      <c r="F1357" t="s">
        <v>1562</v>
      </c>
      <c r="G1357" t="s">
        <v>1847</v>
      </c>
      <c r="H1357" s="4">
        <v>45822</v>
      </c>
      <c r="I1357" t="s">
        <v>1966</v>
      </c>
    </row>
    <row r="1358" spans="1:9" x14ac:dyDescent="0.25">
      <c r="A1358" t="s">
        <v>896</v>
      </c>
      <c r="B1358" t="s">
        <v>304</v>
      </c>
      <c r="C1358" s="3">
        <v>20</v>
      </c>
      <c r="D1358" t="s">
        <v>53</v>
      </c>
      <c r="E1358">
        <v>538428</v>
      </c>
      <c r="F1358" t="s">
        <v>1562</v>
      </c>
      <c r="G1358" t="s">
        <v>1847</v>
      </c>
      <c r="H1358" s="4">
        <v>45822</v>
      </c>
      <c r="I1358" t="s">
        <v>1966</v>
      </c>
    </row>
    <row r="1359" spans="1:9" x14ac:dyDescent="0.25">
      <c r="A1359" t="s">
        <v>895</v>
      </c>
      <c r="B1359" t="s">
        <v>304</v>
      </c>
      <c r="C1359" s="3">
        <v>40</v>
      </c>
      <c r="D1359" t="s">
        <v>53</v>
      </c>
      <c r="E1359">
        <v>538429</v>
      </c>
      <c r="F1359" t="s">
        <v>1562</v>
      </c>
      <c r="G1359" t="s">
        <v>1847</v>
      </c>
      <c r="H1359" s="4">
        <v>45822</v>
      </c>
      <c r="I1359" t="s">
        <v>1966</v>
      </c>
    </row>
    <row r="1360" spans="1:9" x14ac:dyDescent="0.25">
      <c r="A1360" t="s">
        <v>894</v>
      </c>
      <c r="B1360" t="s">
        <v>304</v>
      </c>
      <c r="C1360" s="3">
        <v>50</v>
      </c>
      <c r="D1360" t="s">
        <v>53</v>
      </c>
      <c r="E1360">
        <v>538430</v>
      </c>
      <c r="F1360" t="s">
        <v>1562</v>
      </c>
      <c r="G1360" t="s">
        <v>1847</v>
      </c>
      <c r="H1360" s="4">
        <v>45822</v>
      </c>
      <c r="I1360" t="s">
        <v>1966</v>
      </c>
    </row>
    <row r="1361" spans="1:9" x14ac:dyDescent="0.25">
      <c r="A1361" t="s">
        <v>47</v>
      </c>
      <c r="B1361" t="s">
        <v>304</v>
      </c>
      <c r="C1361" s="3">
        <v>40</v>
      </c>
      <c r="D1361" t="s">
        <v>53</v>
      </c>
      <c r="E1361">
        <v>538431</v>
      </c>
      <c r="F1361" t="s">
        <v>1562</v>
      </c>
      <c r="G1361" t="s">
        <v>1847</v>
      </c>
      <c r="H1361" s="4">
        <v>45822</v>
      </c>
      <c r="I1361" t="s">
        <v>1966</v>
      </c>
    </row>
    <row r="1362" spans="1:9" x14ac:dyDescent="0.25">
      <c r="A1362" t="s">
        <v>893</v>
      </c>
      <c r="B1362" t="s">
        <v>304</v>
      </c>
      <c r="C1362" s="3">
        <v>50</v>
      </c>
      <c r="D1362" t="s">
        <v>53</v>
      </c>
      <c r="E1362">
        <v>538432</v>
      </c>
      <c r="F1362" t="s">
        <v>1562</v>
      </c>
      <c r="G1362" t="s">
        <v>1847</v>
      </c>
      <c r="H1362" s="4">
        <v>45822</v>
      </c>
      <c r="I1362" t="s">
        <v>1966</v>
      </c>
    </row>
    <row r="1363" spans="1:9" x14ac:dyDescent="0.25">
      <c r="A1363" t="s">
        <v>892</v>
      </c>
      <c r="B1363" t="s">
        <v>304</v>
      </c>
      <c r="C1363" s="3">
        <v>40</v>
      </c>
      <c r="D1363" t="s">
        <v>53</v>
      </c>
      <c r="E1363">
        <v>538433</v>
      </c>
      <c r="F1363" t="s">
        <v>1562</v>
      </c>
      <c r="G1363" t="s">
        <v>1847</v>
      </c>
      <c r="H1363" s="4">
        <v>45822</v>
      </c>
      <c r="I1363" t="s">
        <v>1966</v>
      </c>
    </row>
    <row r="1364" spans="1:9" x14ac:dyDescent="0.25">
      <c r="A1364" t="s">
        <v>891</v>
      </c>
      <c r="B1364" t="s">
        <v>304</v>
      </c>
      <c r="C1364" s="3">
        <v>20</v>
      </c>
      <c r="D1364" t="s">
        <v>53</v>
      </c>
      <c r="E1364">
        <v>538434</v>
      </c>
      <c r="F1364" t="s">
        <v>1562</v>
      </c>
      <c r="G1364" t="s">
        <v>1847</v>
      </c>
      <c r="H1364" s="4">
        <v>45822</v>
      </c>
      <c r="I1364" t="s">
        <v>1966</v>
      </c>
    </row>
    <row r="1365" spans="1:9" x14ac:dyDescent="0.25">
      <c r="A1365" t="s">
        <v>890</v>
      </c>
      <c r="B1365" t="s">
        <v>304</v>
      </c>
      <c r="C1365" s="3">
        <v>40</v>
      </c>
      <c r="D1365" t="s">
        <v>53</v>
      </c>
      <c r="E1365">
        <v>538435</v>
      </c>
      <c r="F1365" t="s">
        <v>1562</v>
      </c>
      <c r="G1365" t="s">
        <v>1847</v>
      </c>
      <c r="H1365" s="4">
        <v>45822</v>
      </c>
      <c r="I1365" t="s">
        <v>1966</v>
      </c>
    </row>
    <row r="1366" spans="1:9" x14ac:dyDescent="0.25">
      <c r="A1366" t="s">
        <v>605</v>
      </c>
      <c r="B1366" t="s">
        <v>304</v>
      </c>
      <c r="C1366" s="3">
        <v>40</v>
      </c>
      <c r="D1366" t="s">
        <v>53</v>
      </c>
      <c r="E1366">
        <v>538436</v>
      </c>
      <c r="F1366" t="s">
        <v>1562</v>
      </c>
      <c r="G1366" t="s">
        <v>1847</v>
      </c>
      <c r="H1366" s="4">
        <v>45822</v>
      </c>
      <c r="I1366" t="s">
        <v>1966</v>
      </c>
    </row>
    <row r="1367" spans="1:9" x14ac:dyDescent="0.25">
      <c r="A1367" t="s">
        <v>889</v>
      </c>
      <c r="B1367" t="s">
        <v>304</v>
      </c>
      <c r="C1367" s="3">
        <v>100</v>
      </c>
      <c r="D1367" t="s">
        <v>53</v>
      </c>
      <c r="E1367">
        <v>538437</v>
      </c>
      <c r="F1367" t="s">
        <v>1562</v>
      </c>
      <c r="G1367" t="s">
        <v>1847</v>
      </c>
      <c r="H1367" s="4">
        <v>45822</v>
      </c>
      <c r="I1367" t="s">
        <v>1966</v>
      </c>
    </row>
    <row r="1368" spans="1:9" x14ac:dyDescent="0.25">
      <c r="A1368" t="s">
        <v>326</v>
      </c>
      <c r="B1368" t="s">
        <v>304</v>
      </c>
      <c r="C1368" s="3">
        <v>40</v>
      </c>
      <c r="D1368" t="s">
        <v>53</v>
      </c>
      <c r="E1368">
        <v>538438</v>
      </c>
      <c r="F1368" t="s">
        <v>1562</v>
      </c>
      <c r="G1368" t="s">
        <v>1847</v>
      </c>
      <c r="H1368" s="4">
        <v>45822</v>
      </c>
      <c r="I1368" t="s">
        <v>1966</v>
      </c>
    </row>
    <row r="1369" spans="1:9" x14ac:dyDescent="0.25">
      <c r="A1369" t="s">
        <v>830</v>
      </c>
      <c r="B1369" t="s">
        <v>304</v>
      </c>
      <c r="C1369" s="3">
        <v>20</v>
      </c>
      <c r="D1369" t="s">
        <v>53</v>
      </c>
      <c r="E1369">
        <v>538520</v>
      </c>
      <c r="F1369" t="s">
        <v>1562</v>
      </c>
      <c r="G1369" t="s">
        <v>1860</v>
      </c>
      <c r="H1369" s="4">
        <v>45822</v>
      </c>
      <c r="I1369" t="s">
        <v>1966</v>
      </c>
    </row>
    <row r="1370" spans="1:9" x14ac:dyDescent="0.25">
      <c r="A1370" t="s">
        <v>829</v>
      </c>
      <c r="B1370" t="s">
        <v>304</v>
      </c>
      <c r="C1370" s="3">
        <v>20</v>
      </c>
      <c r="D1370" t="s">
        <v>53</v>
      </c>
      <c r="E1370">
        <v>538521</v>
      </c>
      <c r="F1370" t="s">
        <v>1562</v>
      </c>
      <c r="G1370" t="s">
        <v>1861</v>
      </c>
      <c r="H1370" s="4">
        <v>45822</v>
      </c>
      <c r="I1370" t="s">
        <v>1966</v>
      </c>
    </row>
    <row r="1371" spans="1:9" x14ac:dyDescent="0.25">
      <c r="A1371" t="s">
        <v>828</v>
      </c>
      <c r="B1371" t="s">
        <v>304</v>
      </c>
      <c r="C1371" s="3">
        <v>20</v>
      </c>
      <c r="D1371" t="s">
        <v>53</v>
      </c>
      <c r="E1371">
        <v>538522</v>
      </c>
      <c r="F1371" t="s">
        <v>1562</v>
      </c>
      <c r="G1371" t="s">
        <v>1861</v>
      </c>
      <c r="H1371" s="4">
        <v>45822</v>
      </c>
      <c r="I1371" t="s">
        <v>1966</v>
      </c>
    </row>
    <row r="1372" spans="1:9" x14ac:dyDescent="0.25">
      <c r="A1372" t="s">
        <v>827</v>
      </c>
      <c r="B1372" t="s">
        <v>304</v>
      </c>
      <c r="C1372" s="3">
        <v>50</v>
      </c>
      <c r="D1372" t="s">
        <v>53</v>
      </c>
      <c r="E1372">
        <v>538523</v>
      </c>
      <c r="F1372" t="s">
        <v>1562</v>
      </c>
      <c r="G1372" t="s">
        <v>1861</v>
      </c>
      <c r="H1372" s="4">
        <v>45822</v>
      </c>
      <c r="I1372" t="s">
        <v>1966</v>
      </c>
    </row>
    <row r="1373" spans="1:9" x14ac:dyDescent="0.25">
      <c r="A1373" t="s">
        <v>826</v>
      </c>
      <c r="B1373" t="s">
        <v>304</v>
      </c>
      <c r="C1373" s="3">
        <v>20</v>
      </c>
      <c r="D1373" t="s">
        <v>53</v>
      </c>
      <c r="E1373">
        <v>538524</v>
      </c>
      <c r="F1373" t="s">
        <v>1562</v>
      </c>
      <c r="G1373" t="s">
        <v>1861</v>
      </c>
      <c r="H1373" s="4">
        <v>45822</v>
      </c>
      <c r="I1373" t="s">
        <v>1966</v>
      </c>
    </row>
    <row r="1374" spans="1:9" x14ac:dyDescent="0.25">
      <c r="A1374" t="s">
        <v>825</v>
      </c>
      <c r="B1374" t="s">
        <v>304</v>
      </c>
      <c r="C1374" s="3">
        <v>20</v>
      </c>
      <c r="D1374" t="s">
        <v>53</v>
      </c>
      <c r="E1374">
        <v>538525</v>
      </c>
      <c r="F1374" t="s">
        <v>1562</v>
      </c>
      <c r="G1374" t="s">
        <v>1861</v>
      </c>
      <c r="H1374" s="4">
        <v>45822</v>
      </c>
      <c r="I1374" t="s">
        <v>1966</v>
      </c>
    </row>
    <row r="1375" spans="1:9" x14ac:dyDescent="0.25">
      <c r="A1375" t="s">
        <v>824</v>
      </c>
      <c r="B1375" t="s">
        <v>304</v>
      </c>
      <c r="C1375" s="3">
        <v>20</v>
      </c>
      <c r="D1375" t="s">
        <v>53</v>
      </c>
      <c r="E1375">
        <v>538526</v>
      </c>
      <c r="F1375" t="s">
        <v>1562</v>
      </c>
      <c r="G1375" t="s">
        <v>1861</v>
      </c>
      <c r="H1375" s="4">
        <v>45822</v>
      </c>
      <c r="I1375" t="s">
        <v>1966</v>
      </c>
    </row>
    <row r="1376" spans="1:9" x14ac:dyDescent="0.25">
      <c r="A1376" t="s">
        <v>823</v>
      </c>
      <c r="B1376" t="s">
        <v>304</v>
      </c>
      <c r="C1376" s="3">
        <v>40</v>
      </c>
      <c r="D1376" t="s">
        <v>53</v>
      </c>
      <c r="E1376">
        <v>538527</v>
      </c>
      <c r="F1376" t="s">
        <v>1562</v>
      </c>
      <c r="G1376" t="s">
        <v>1861</v>
      </c>
      <c r="H1376" s="4">
        <v>45822</v>
      </c>
      <c r="I1376" t="s">
        <v>1966</v>
      </c>
    </row>
    <row r="1377" spans="1:9" x14ac:dyDescent="0.25">
      <c r="A1377" t="s">
        <v>822</v>
      </c>
      <c r="B1377" t="s">
        <v>304</v>
      </c>
      <c r="C1377" s="3">
        <v>40</v>
      </c>
      <c r="D1377" t="s">
        <v>53</v>
      </c>
      <c r="E1377">
        <v>538528</v>
      </c>
      <c r="F1377" t="s">
        <v>1562</v>
      </c>
      <c r="G1377" t="s">
        <v>1861</v>
      </c>
      <c r="H1377" s="4">
        <v>45822</v>
      </c>
      <c r="I1377" t="s">
        <v>1966</v>
      </c>
    </row>
    <row r="1378" spans="1:9" x14ac:dyDescent="0.25">
      <c r="A1378" t="s">
        <v>317</v>
      </c>
      <c r="B1378" t="s">
        <v>304</v>
      </c>
      <c r="C1378" s="3">
        <v>20</v>
      </c>
      <c r="D1378" t="s">
        <v>53</v>
      </c>
      <c r="E1378">
        <v>538529</v>
      </c>
      <c r="F1378" t="s">
        <v>1562</v>
      </c>
      <c r="G1378" t="s">
        <v>1861</v>
      </c>
      <c r="H1378" s="4">
        <v>45822</v>
      </c>
      <c r="I1378" t="s">
        <v>1966</v>
      </c>
    </row>
    <row r="1379" spans="1:9" x14ac:dyDescent="0.25">
      <c r="A1379" t="s">
        <v>821</v>
      </c>
      <c r="B1379" t="s">
        <v>304</v>
      </c>
      <c r="C1379" s="3">
        <v>20</v>
      </c>
      <c r="D1379" t="s">
        <v>53</v>
      </c>
      <c r="E1379">
        <v>538530</v>
      </c>
      <c r="F1379" t="s">
        <v>1562</v>
      </c>
      <c r="G1379" t="s">
        <v>1862</v>
      </c>
      <c r="H1379" s="4">
        <v>45822</v>
      </c>
      <c r="I1379" t="s">
        <v>1966</v>
      </c>
    </row>
    <row r="1380" spans="1:9" x14ac:dyDescent="0.25">
      <c r="A1380" t="s">
        <v>820</v>
      </c>
      <c r="B1380" t="s">
        <v>304</v>
      </c>
      <c r="C1380" s="3">
        <v>45</v>
      </c>
      <c r="D1380" t="s">
        <v>53</v>
      </c>
      <c r="E1380">
        <v>538531</v>
      </c>
      <c r="F1380" t="s">
        <v>1562</v>
      </c>
      <c r="G1380" t="s">
        <v>1862</v>
      </c>
      <c r="H1380" s="4">
        <v>45822</v>
      </c>
      <c r="I1380" t="s">
        <v>1966</v>
      </c>
    </row>
    <row r="1381" spans="1:9" x14ac:dyDescent="0.25">
      <c r="A1381" t="s">
        <v>819</v>
      </c>
      <c r="B1381" t="s">
        <v>304</v>
      </c>
      <c r="C1381" s="3">
        <v>25</v>
      </c>
      <c r="D1381" t="s">
        <v>53</v>
      </c>
      <c r="E1381">
        <v>538532</v>
      </c>
      <c r="F1381" t="s">
        <v>1562</v>
      </c>
      <c r="G1381" t="s">
        <v>1862</v>
      </c>
      <c r="H1381" s="4">
        <v>45822</v>
      </c>
      <c r="I1381" t="s">
        <v>1966</v>
      </c>
    </row>
    <row r="1382" spans="1:9" x14ac:dyDescent="0.25">
      <c r="A1382" t="s">
        <v>818</v>
      </c>
      <c r="B1382" t="s">
        <v>304</v>
      </c>
      <c r="C1382" s="3">
        <v>50</v>
      </c>
      <c r="D1382" t="s">
        <v>53</v>
      </c>
      <c r="E1382">
        <v>538533</v>
      </c>
      <c r="F1382" t="s">
        <v>1562</v>
      </c>
      <c r="G1382" t="s">
        <v>1862</v>
      </c>
      <c r="H1382" s="4">
        <v>45822</v>
      </c>
      <c r="I1382" t="s">
        <v>1966</v>
      </c>
    </row>
    <row r="1383" spans="1:9" x14ac:dyDescent="0.25">
      <c r="A1383" t="s">
        <v>817</v>
      </c>
      <c r="B1383" t="s">
        <v>304</v>
      </c>
      <c r="C1383" s="3">
        <v>50</v>
      </c>
      <c r="D1383" t="s">
        <v>53</v>
      </c>
      <c r="E1383">
        <v>538534</v>
      </c>
      <c r="F1383" t="s">
        <v>1562</v>
      </c>
      <c r="G1383" t="s">
        <v>1862</v>
      </c>
      <c r="H1383" s="4">
        <v>45822</v>
      </c>
      <c r="I1383" t="s">
        <v>1966</v>
      </c>
    </row>
    <row r="1384" spans="1:9" x14ac:dyDescent="0.25">
      <c r="A1384" t="s">
        <v>816</v>
      </c>
      <c r="B1384" t="s">
        <v>304</v>
      </c>
      <c r="C1384" s="3">
        <v>20</v>
      </c>
      <c r="D1384" t="s">
        <v>53</v>
      </c>
      <c r="E1384">
        <v>538535</v>
      </c>
      <c r="F1384" t="s">
        <v>1562</v>
      </c>
      <c r="G1384" t="s">
        <v>1862</v>
      </c>
      <c r="H1384" s="4">
        <v>45822</v>
      </c>
      <c r="I1384" t="s">
        <v>1966</v>
      </c>
    </row>
    <row r="1385" spans="1:9" x14ac:dyDescent="0.25">
      <c r="A1385" t="s">
        <v>815</v>
      </c>
      <c r="B1385" t="s">
        <v>304</v>
      </c>
      <c r="C1385" s="3">
        <v>20</v>
      </c>
      <c r="D1385" t="s">
        <v>53</v>
      </c>
      <c r="E1385">
        <v>538536</v>
      </c>
      <c r="F1385" t="s">
        <v>1562</v>
      </c>
      <c r="G1385" t="s">
        <v>1863</v>
      </c>
      <c r="H1385" s="4">
        <v>45822</v>
      </c>
      <c r="I1385" t="s">
        <v>1966</v>
      </c>
    </row>
    <row r="1386" spans="1:9" x14ac:dyDescent="0.25">
      <c r="A1386" t="s">
        <v>814</v>
      </c>
      <c r="B1386" t="s">
        <v>304</v>
      </c>
      <c r="C1386" s="3">
        <v>20</v>
      </c>
      <c r="D1386" t="s">
        <v>53</v>
      </c>
      <c r="E1386">
        <v>538537</v>
      </c>
      <c r="F1386" t="s">
        <v>1562</v>
      </c>
      <c r="G1386" t="s">
        <v>1863</v>
      </c>
      <c r="H1386" s="4">
        <v>45822</v>
      </c>
      <c r="I1386" t="s">
        <v>1966</v>
      </c>
    </row>
    <row r="1387" spans="1:9" x14ac:dyDescent="0.25">
      <c r="A1387" t="s">
        <v>813</v>
      </c>
      <c r="B1387" t="s">
        <v>304</v>
      </c>
      <c r="C1387" s="3">
        <v>20</v>
      </c>
      <c r="D1387" t="s">
        <v>53</v>
      </c>
      <c r="E1387">
        <v>538538</v>
      </c>
      <c r="F1387" t="s">
        <v>1562</v>
      </c>
      <c r="G1387" t="s">
        <v>1863</v>
      </c>
      <c r="H1387" s="4">
        <v>45822</v>
      </c>
      <c r="I1387" t="s">
        <v>1966</v>
      </c>
    </row>
    <row r="1388" spans="1:9" x14ac:dyDescent="0.25">
      <c r="A1388" t="s">
        <v>812</v>
      </c>
      <c r="B1388" t="s">
        <v>304</v>
      </c>
      <c r="C1388" s="3">
        <v>20</v>
      </c>
      <c r="D1388" t="s">
        <v>53</v>
      </c>
      <c r="E1388">
        <v>538539</v>
      </c>
      <c r="F1388" t="s">
        <v>1562</v>
      </c>
      <c r="G1388" t="s">
        <v>1863</v>
      </c>
      <c r="H1388" s="4">
        <v>45822</v>
      </c>
      <c r="I1388" t="s">
        <v>1966</v>
      </c>
    </row>
    <row r="1389" spans="1:9" x14ac:dyDescent="0.25">
      <c r="A1389" t="s">
        <v>811</v>
      </c>
      <c r="B1389" t="s">
        <v>304</v>
      </c>
      <c r="C1389" s="3">
        <v>20</v>
      </c>
      <c r="D1389" t="s">
        <v>53</v>
      </c>
      <c r="E1389">
        <v>538540</v>
      </c>
      <c r="F1389" t="s">
        <v>1562</v>
      </c>
      <c r="G1389" t="s">
        <v>1863</v>
      </c>
      <c r="H1389" s="4">
        <v>45822</v>
      </c>
      <c r="I1389" t="s">
        <v>1966</v>
      </c>
    </row>
    <row r="1390" spans="1:9" x14ac:dyDescent="0.25">
      <c r="A1390" t="s">
        <v>810</v>
      </c>
      <c r="B1390" t="s">
        <v>304</v>
      </c>
      <c r="C1390" s="3">
        <v>20</v>
      </c>
      <c r="D1390" t="s">
        <v>53</v>
      </c>
      <c r="E1390">
        <v>538541</v>
      </c>
      <c r="F1390" t="s">
        <v>1562</v>
      </c>
      <c r="G1390" t="s">
        <v>1863</v>
      </c>
      <c r="H1390" s="4">
        <v>45822</v>
      </c>
      <c r="I1390" t="s">
        <v>1966</v>
      </c>
    </row>
    <row r="1391" spans="1:9" x14ac:dyDescent="0.25">
      <c r="A1391" t="s">
        <v>809</v>
      </c>
      <c r="B1391" t="s">
        <v>304</v>
      </c>
      <c r="C1391" s="3">
        <v>25</v>
      </c>
      <c r="D1391" t="s">
        <v>53</v>
      </c>
      <c r="E1391">
        <v>538542</v>
      </c>
      <c r="F1391" t="s">
        <v>1562</v>
      </c>
      <c r="G1391" t="s">
        <v>1863</v>
      </c>
      <c r="H1391" s="4">
        <v>45822</v>
      </c>
      <c r="I1391" t="s">
        <v>1966</v>
      </c>
    </row>
    <row r="1392" spans="1:9" x14ac:dyDescent="0.25">
      <c r="A1392" t="s">
        <v>808</v>
      </c>
      <c r="B1392" t="s">
        <v>304</v>
      </c>
      <c r="C1392" s="3">
        <v>25</v>
      </c>
      <c r="D1392" t="s">
        <v>53</v>
      </c>
      <c r="E1392">
        <v>538543</v>
      </c>
      <c r="F1392" t="s">
        <v>1562</v>
      </c>
      <c r="G1392" t="s">
        <v>1863</v>
      </c>
      <c r="H1392" s="4">
        <v>45822</v>
      </c>
      <c r="I1392" t="s">
        <v>1966</v>
      </c>
    </row>
    <row r="1393" spans="1:9" x14ac:dyDescent="0.25">
      <c r="A1393" t="s">
        <v>807</v>
      </c>
      <c r="B1393" t="s">
        <v>304</v>
      </c>
      <c r="C1393" s="3">
        <v>20</v>
      </c>
      <c r="D1393" t="s">
        <v>53</v>
      </c>
      <c r="E1393">
        <v>538544</v>
      </c>
      <c r="F1393" t="s">
        <v>1562</v>
      </c>
      <c r="G1393" t="s">
        <v>1863</v>
      </c>
      <c r="H1393" s="4">
        <v>45822</v>
      </c>
      <c r="I1393" t="s">
        <v>1966</v>
      </c>
    </row>
    <row r="1394" spans="1:9" x14ac:dyDescent="0.25">
      <c r="A1394" t="s">
        <v>806</v>
      </c>
      <c r="B1394" t="s">
        <v>304</v>
      </c>
      <c r="C1394" s="3">
        <v>20</v>
      </c>
      <c r="D1394" t="s">
        <v>53</v>
      </c>
      <c r="E1394">
        <v>538545</v>
      </c>
      <c r="F1394" t="s">
        <v>1562</v>
      </c>
      <c r="G1394" t="s">
        <v>1863</v>
      </c>
      <c r="H1394" s="4">
        <v>45822</v>
      </c>
      <c r="I1394" t="s">
        <v>1966</v>
      </c>
    </row>
    <row r="1395" spans="1:9" x14ac:dyDescent="0.25">
      <c r="A1395" t="s">
        <v>805</v>
      </c>
      <c r="B1395" t="s">
        <v>304</v>
      </c>
      <c r="C1395" s="3">
        <v>20</v>
      </c>
      <c r="D1395" t="s">
        <v>53</v>
      </c>
      <c r="E1395">
        <v>538546</v>
      </c>
      <c r="F1395" t="s">
        <v>1562</v>
      </c>
      <c r="G1395" t="s">
        <v>1863</v>
      </c>
      <c r="H1395" s="4">
        <v>45822</v>
      </c>
      <c r="I1395" t="s">
        <v>1966</v>
      </c>
    </row>
    <row r="1396" spans="1:9" x14ac:dyDescent="0.25">
      <c r="A1396" t="s">
        <v>804</v>
      </c>
      <c r="B1396" t="s">
        <v>304</v>
      </c>
      <c r="C1396" s="3">
        <v>20</v>
      </c>
      <c r="D1396" t="s">
        <v>53</v>
      </c>
      <c r="E1396">
        <v>538547</v>
      </c>
      <c r="F1396" t="s">
        <v>1562</v>
      </c>
      <c r="G1396" t="s">
        <v>1864</v>
      </c>
      <c r="H1396" s="4">
        <v>45822</v>
      </c>
      <c r="I1396" t="s">
        <v>1966</v>
      </c>
    </row>
    <row r="1397" spans="1:9" x14ac:dyDescent="0.25">
      <c r="A1397" t="s">
        <v>803</v>
      </c>
      <c r="B1397" t="s">
        <v>304</v>
      </c>
      <c r="C1397" s="3">
        <v>50</v>
      </c>
      <c r="D1397" t="s">
        <v>53</v>
      </c>
      <c r="E1397">
        <v>538548</v>
      </c>
      <c r="F1397" t="s">
        <v>1562</v>
      </c>
      <c r="G1397" t="s">
        <v>1864</v>
      </c>
      <c r="H1397" s="4">
        <v>45822</v>
      </c>
      <c r="I1397" t="s">
        <v>1966</v>
      </c>
    </row>
    <row r="1398" spans="1:9" x14ac:dyDescent="0.25">
      <c r="A1398" t="s">
        <v>802</v>
      </c>
      <c r="B1398" t="s">
        <v>304</v>
      </c>
      <c r="C1398" s="3">
        <v>20</v>
      </c>
      <c r="D1398" t="s">
        <v>53</v>
      </c>
      <c r="E1398">
        <v>538549</v>
      </c>
      <c r="F1398" t="s">
        <v>1562</v>
      </c>
      <c r="G1398" t="s">
        <v>1864</v>
      </c>
      <c r="H1398" s="4">
        <v>45822</v>
      </c>
      <c r="I1398" t="s">
        <v>1966</v>
      </c>
    </row>
    <row r="1399" spans="1:9" x14ac:dyDescent="0.25">
      <c r="A1399" t="s">
        <v>801</v>
      </c>
      <c r="B1399" t="s">
        <v>304</v>
      </c>
      <c r="C1399" s="3">
        <v>25</v>
      </c>
      <c r="D1399" t="s">
        <v>53</v>
      </c>
      <c r="E1399">
        <v>538550</v>
      </c>
      <c r="F1399" t="s">
        <v>1562</v>
      </c>
      <c r="G1399" t="s">
        <v>1864</v>
      </c>
      <c r="H1399" s="4">
        <v>45822</v>
      </c>
      <c r="I1399" t="s">
        <v>1966</v>
      </c>
    </row>
    <row r="1400" spans="1:9" x14ac:dyDescent="0.25">
      <c r="A1400" t="s">
        <v>800</v>
      </c>
      <c r="B1400" t="s">
        <v>304</v>
      </c>
      <c r="C1400" s="3">
        <v>25</v>
      </c>
      <c r="D1400" t="s">
        <v>53</v>
      </c>
      <c r="E1400">
        <v>538551</v>
      </c>
      <c r="F1400" t="s">
        <v>1562</v>
      </c>
      <c r="G1400" t="s">
        <v>1864</v>
      </c>
      <c r="H1400" s="4">
        <v>45822</v>
      </c>
      <c r="I1400" t="s">
        <v>1966</v>
      </c>
    </row>
    <row r="1401" spans="1:9" x14ac:dyDescent="0.25">
      <c r="A1401" t="s">
        <v>799</v>
      </c>
      <c r="B1401" t="s">
        <v>304</v>
      </c>
      <c r="C1401" s="3">
        <v>10</v>
      </c>
      <c r="D1401" t="s">
        <v>53</v>
      </c>
      <c r="E1401">
        <v>538552</v>
      </c>
      <c r="F1401" t="s">
        <v>1562</v>
      </c>
      <c r="G1401" t="s">
        <v>1864</v>
      </c>
      <c r="H1401" s="4">
        <v>45822</v>
      </c>
      <c r="I1401" t="s">
        <v>1966</v>
      </c>
    </row>
    <row r="1402" spans="1:9" x14ac:dyDescent="0.25">
      <c r="A1402" t="s">
        <v>798</v>
      </c>
      <c r="B1402" t="s">
        <v>304</v>
      </c>
      <c r="C1402" s="3">
        <v>10</v>
      </c>
      <c r="D1402" t="s">
        <v>53</v>
      </c>
      <c r="E1402">
        <v>538553</v>
      </c>
      <c r="F1402" t="s">
        <v>1562</v>
      </c>
      <c r="G1402" t="s">
        <v>1864</v>
      </c>
      <c r="H1402" s="4">
        <v>45822</v>
      </c>
      <c r="I1402" t="s">
        <v>1966</v>
      </c>
    </row>
    <row r="1403" spans="1:9" x14ac:dyDescent="0.25">
      <c r="A1403" t="s">
        <v>797</v>
      </c>
      <c r="B1403" t="s">
        <v>304</v>
      </c>
      <c r="C1403" s="3">
        <v>20</v>
      </c>
      <c r="D1403" t="s">
        <v>53</v>
      </c>
      <c r="E1403">
        <v>538554</v>
      </c>
      <c r="F1403" t="s">
        <v>1562</v>
      </c>
      <c r="G1403" t="s">
        <v>1864</v>
      </c>
      <c r="H1403" s="4">
        <v>45822</v>
      </c>
      <c r="I1403" t="s">
        <v>1966</v>
      </c>
    </row>
    <row r="1404" spans="1:9" x14ac:dyDescent="0.25">
      <c r="A1404" t="s">
        <v>796</v>
      </c>
      <c r="B1404" t="s">
        <v>304</v>
      </c>
      <c r="C1404" s="3">
        <v>25</v>
      </c>
      <c r="D1404" t="s">
        <v>53</v>
      </c>
      <c r="E1404">
        <v>538555</v>
      </c>
      <c r="F1404" t="s">
        <v>1562</v>
      </c>
      <c r="G1404" t="s">
        <v>1864</v>
      </c>
      <c r="H1404" s="4">
        <v>45822</v>
      </c>
      <c r="I1404" t="s">
        <v>1966</v>
      </c>
    </row>
    <row r="1405" spans="1:9" x14ac:dyDescent="0.25">
      <c r="A1405" t="s">
        <v>317</v>
      </c>
      <c r="B1405" t="s">
        <v>304</v>
      </c>
      <c r="C1405" s="3">
        <v>135</v>
      </c>
      <c r="D1405" t="s">
        <v>53</v>
      </c>
      <c r="E1405">
        <v>538556</v>
      </c>
      <c r="F1405" t="s">
        <v>1562</v>
      </c>
      <c r="G1405" t="s">
        <v>1864</v>
      </c>
      <c r="H1405" s="4">
        <v>45822</v>
      </c>
      <c r="I1405" t="s">
        <v>1966</v>
      </c>
    </row>
    <row r="1406" spans="1:9" x14ac:dyDescent="0.25">
      <c r="A1406" t="s">
        <v>795</v>
      </c>
      <c r="B1406" t="s">
        <v>304</v>
      </c>
      <c r="C1406" s="3">
        <v>40</v>
      </c>
      <c r="D1406" t="s">
        <v>53</v>
      </c>
      <c r="E1406">
        <v>538557</v>
      </c>
      <c r="F1406" t="s">
        <v>1562</v>
      </c>
      <c r="G1406" t="s">
        <v>1865</v>
      </c>
      <c r="H1406" s="4">
        <v>45822</v>
      </c>
      <c r="I1406" t="s">
        <v>1966</v>
      </c>
    </row>
    <row r="1407" spans="1:9" x14ac:dyDescent="0.25">
      <c r="A1407" t="s">
        <v>794</v>
      </c>
      <c r="B1407" t="s">
        <v>304</v>
      </c>
      <c r="C1407" s="3">
        <v>20</v>
      </c>
      <c r="D1407" t="s">
        <v>53</v>
      </c>
      <c r="E1407">
        <v>538558</v>
      </c>
      <c r="F1407" t="s">
        <v>1562</v>
      </c>
      <c r="G1407" t="s">
        <v>1865</v>
      </c>
      <c r="H1407" s="4">
        <v>45822</v>
      </c>
      <c r="I1407" t="s">
        <v>1966</v>
      </c>
    </row>
    <row r="1408" spans="1:9" x14ac:dyDescent="0.25">
      <c r="A1408" t="s">
        <v>793</v>
      </c>
      <c r="B1408" t="s">
        <v>304</v>
      </c>
      <c r="C1408" s="3">
        <v>25</v>
      </c>
      <c r="D1408" t="s">
        <v>53</v>
      </c>
      <c r="E1408">
        <v>538559</v>
      </c>
      <c r="F1408" t="s">
        <v>1562</v>
      </c>
      <c r="G1408" t="s">
        <v>1865</v>
      </c>
      <c r="H1408" s="4">
        <v>45822</v>
      </c>
      <c r="I1408" t="s">
        <v>1966</v>
      </c>
    </row>
    <row r="1409" spans="1:9" x14ac:dyDescent="0.25">
      <c r="A1409" t="s">
        <v>792</v>
      </c>
      <c r="B1409" t="s">
        <v>304</v>
      </c>
      <c r="C1409" s="3">
        <v>20</v>
      </c>
      <c r="D1409" t="s">
        <v>53</v>
      </c>
      <c r="E1409">
        <v>538560</v>
      </c>
      <c r="F1409" t="s">
        <v>1562</v>
      </c>
      <c r="G1409" t="s">
        <v>1865</v>
      </c>
      <c r="H1409" s="4">
        <v>45822</v>
      </c>
      <c r="I1409" t="s">
        <v>1966</v>
      </c>
    </row>
    <row r="1410" spans="1:9" x14ac:dyDescent="0.25">
      <c r="A1410" t="s">
        <v>791</v>
      </c>
      <c r="B1410" t="s">
        <v>304</v>
      </c>
      <c r="C1410" s="3">
        <v>20</v>
      </c>
      <c r="D1410" t="s">
        <v>53</v>
      </c>
      <c r="E1410">
        <v>538561</v>
      </c>
      <c r="F1410" t="s">
        <v>1562</v>
      </c>
      <c r="G1410" t="s">
        <v>1865</v>
      </c>
      <c r="H1410" s="4">
        <v>45822</v>
      </c>
      <c r="I1410" t="s">
        <v>1966</v>
      </c>
    </row>
    <row r="1411" spans="1:9" x14ac:dyDescent="0.25">
      <c r="A1411" t="s">
        <v>790</v>
      </c>
      <c r="B1411" t="s">
        <v>304</v>
      </c>
      <c r="C1411" s="3">
        <v>20</v>
      </c>
      <c r="D1411" t="s">
        <v>53</v>
      </c>
      <c r="E1411">
        <v>538562</v>
      </c>
      <c r="F1411" t="s">
        <v>1562</v>
      </c>
      <c r="G1411" t="s">
        <v>1865</v>
      </c>
      <c r="H1411" s="4">
        <v>45822</v>
      </c>
      <c r="I1411" t="s">
        <v>1966</v>
      </c>
    </row>
    <row r="1412" spans="1:9" x14ac:dyDescent="0.25">
      <c r="A1412" t="s">
        <v>789</v>
      </c>
      <c r="B1412" t="s">
        <v>304</v>
      </c>
      <c r="C1412" s="3">
        <v>20</v>
      </c>
      <c r="D1412" t="s">
        <v>53</v>
      </c>
      <c r="E1412">
        <v>538563</v>
      </c>
      <c r="F1412" t="s">
        <v>1562</v>
      </c>
      <c r="G1412" t="s">
        <v>1865</v>
      </c>
      <c r="H1412" s="4">
        <v>45822</v>
      </c>
      <c r="I1412" t="s">
        <v>1966</v>
      </c>
    </row>
    <row r="1413" spans="1:9" x14ac:dyDescent="0.25">
      <c r="A1413" t="s">
        <v>788</v>
      </c>
      <c r="B1413" t="s">
        <v>304</v>
      </c>
      <c r="C1413" s="3">
        <v>25</v>
      </c>
      <c r="D1413" t="s">
        <v>53</v>
      </c>
      <c r="E1413">
        <v>538564</v>
      </c>
      <c r="F1413" t="s">
        <v>1562</v>
      </c>
      <c r="G1413" t="s">
        <v>1865</v>
      </c>
      <c r="H1413" s="4">
        <v>45822</v>
      </c>
      <c r="I1413" t="s">
        <v>1966</v>
      </c>
    </row>
    <row r="1414" spans="1:9" x14ac:dyDescent="0.25">
      <c r="A1414" t="s">
        <v>787</v>
      </c>
      <c r="B1414" t="s">
        <v>304</v>
      </c>
      <c r="C1414" s="3">
        <v>25</v>
      </c>
      <c r="D1414" t="s">
        <v>53</v>
      </c>
      <c r="E1414">
        <v>538565</v>
      </c>
      <c r="F1414" t="s">
        <v>1562</v>
      </c>
      <c r="G1414" t="s">
        <v>1865</v>
      </c>
      <c r="H1414" s="4">
        <v>45822</v>
      </c>
      <c r="I1414" t="s">
        <v>1966</v>
      </c>
    </row>
    <row r="1415" spans="1:9" x14ac:dyDescent="0.25">
      <c r="A1415" t="s">
        <v>786</v>
      </c>
      <c r="B1415" t="s">
        <v>304</v>
      </c>
      <c r="C1415" s="3">
        <v>25</v>
      </c>
      <c r="D1415" t="s">
        <v>53</v>
      </c>
      <c r="E1415">
        <v>538566</v>
      </c>
      <c r="F1415" t="s">
        <v>1562</v>
      </c>
      <c r="G1415" t="s">
        <v>1865</v>
      </c>
      <c r="H1415" s="4">
        <v>45822</v>
      </c>
      <c r="I1415" t="s">
        <v>1966</v>
      </c>
    </row>
    <row r="1416" spans="1:9" x14ac:dyDescent="0.25">
      <c r="A1416" t="s">
        <v>785</v>
      </c>
      <c r="B1416" t="s">
        <v>304</v>
      </c>
      <c r="C1416" s="3">
        <v>10</v>
      </c>
      <c r="D1416" t="s">
        <v>53</v>
      </c>
      <c r="E1416">
        <v>538567</v>
      </c>
      <c r="F1416" t="s">
        <v>1562</v>
      </c>
      <c r="G1416" t="s">
        <v>1865</v>
      </c>
      <c r="H1416" s="4">
        <v>45822</v>
      </c>
      <c r="I1416" t="s">
        <v>1966</v>
      </c>
    </row>
    <row r="1417" spans="1:9" x14ac:dyDescent="0.25">
      <c r="A1417" t="s">
        <v>784</v>
      </c>
      <c r="B1417" t="s">
        <v>304</v>
      </c>
      <c r="C1417" s="3">
        <v>50</v>
      </c>
      <c r="D1417" t="s">
        <v>53</v>
      </c>
      <c r="E1417">
        <v>538568</v>
      </c>
      <c r="F1417" t="s">
        <v>1562</v>
      </c>
      <c r="G1417" t="s">
        <v>1865</v>
      </c>
      <c r="H1417" s="4">
        <v>45822</v>
      </c>
      <c r="I1417" t="s">
        <v>1966</v>
      </c>
    </row>
    <row r="1418" spans="1:9" x14ac:dyDescent="0.25">
      <c r="A1418" t="s">
        <v>783</v>
      </c>
      <c r="B1418" t="s">
        <v>304</v>
      </c>
      <c r="C1418" s="3">
        <v>20</v>
      </c>
      <c r="D1418" t="s">
        <v>53</v>
      </c>
      <c r="E1418">
        <v>538569</v>
      </c>
      <c r="F1418" t="s">
        <v>1562</v>
      </c>
      <c r="G1418" t="s">
        <v>1865</v>
      </c>
      <c r="H1418" s="4">
        <v>45822</v>
      </c>
      <c r="I1418" t="s">
        <v>1966</v>
      </c>
    </row>
    <row r="1419" spans="1:9" x14ac:dyDescent="0.25">
      <c r="A1419" t="s">
        <v>782</v>
      </c>
      <c r="B1419" t="s">
        <v>304</v>
      </c>
      <c r="C1419" s="3">
        <v>50</v>
      </c>
      <c r="D1419" t="s">
        <v>53</v>
      </c>
      <c r="E1419">
        <v>538570</v>
      </c>
      <c r="F1419" t="s">
        <v>1562</v>
      </c>
      <c r="G1419" t="s">
        <v>1865</v>
      </c>
      <c r="H1419" s="4">
        <v>45822</v>
      </c>
      <c r="I1419" t="s">
        <v>1966</v>
      </c>
    </row>
    <row r="1420" spans="1:9" x14ac:dyDescent="0.25">
      <c r="A1420" t="s">
        <v>781</v>
      </c>
      <c r="B1420" t="s">
        <v>304</v>
      </c>
      <c r="C1420" s="3">
        <v>50</v>
      </c>
      <c r="D1420" t="s">
        <v>53</v>
      </c>
      <c r="E1420">
        <v>538571</v>
      </c>
      <c r="F1420" t="s">
        <v>1562</v>
      </c>
      <c r="G1420" t="s">
        <v>1865</v>
      </c>
      <c r="H1420" s="4">
        <v>45822</v>
      </c>
      <c r="I1420" t="s">
        <v>1966</v>
      </c>
    </row>
    <row r="1421" spans="1:9" x14ac:dyDescent="0.25">
      <c r="A1421" t="s">
        <v>780</v>
      </c>
      <c r="B1421" t="s">
        <v>304</v>
      </c>
      <c r="C1421" s="3">
        <v>20</v>
      </c>
      <c r="D1421" t="s">
        <v>53</v>
      </c>
      <c r="E1421">
        <v>538572</v>
      </c>
      <c r="F1421" t="s">
        <v>1562</v>
      </c>
      <c r="G1421" t="s">
        <v>1865</v>
      </c>
      <c r="H1421" s="4">
        <v>45822</v>
      </c>
      <c r="I1421" t="s">
        <v>1966</v>
      </c>
    </row>
    <row r="1422" spans="1:9" x14ac:dyDescent="0.25">
      <c r="A1422" t="s">
        <v>779</v>
      </c>
      <c r="B1422" t="s">
        <v>304</v>
      </c>
      <c r="C1422" s="3">
        <v>20</v>
      </c>
      <c r="D1422" t="s">
        <v>53</v>
      </c>
      <c r="E1422">
        <v>538573</v>
      </c>
      <c r="F1422" t="s">
        <v>1562</v>
      </c>
      <c r="G1422" t="s">
        <v>1865</v>
      </c>
      <c r="H1422" s="4">
        <v>45822</v>
      </c>
      <c r="I1422" t="s">
        <v>1966</v>
      </c>
    </row>
    <row r="1423" spans="1:9" x14ac:dyDescent="0.25">
      <c r="A1423" t="s">
        <v>778</v>
      </c>
      <c r="B1423" t="s">
        <v>304</v>
      </c>
      <c r="C1423" s="3">
        <v>20</v>
      </c>
      <c r="D1423" t="s">
        <v>53</v>
      </c>
      <c r="E1423">
        <v>538574</v>
      </c>
      <c r="F1423" t="s">
        <v>1562</v>
      </c>
      <c r="G1423" t="s">
        <v>1865</v>
      </c>
      <c r="H1423" s="4">
        <v>45822</v>
      </c>
      <c r="I1423" t="s">
        <v>1966</v>
      </c>
    </row>
    <row r="1424" spans="1:9" x14ac:dyDescent="0.25">
      <c r="A1424" t="s">
        <v>777</v>
      </c>
      <c r="B1424" t="s">
        <v>304</v>
      </c>
      <c r="C1424" s="3">
        <v>20</v>
      </c>
      <c r="D1424" t="s">
        <v>53</v>
      </c>
      <c r="E1424">
        <v>538575</v>
      </c>
      <c r="F1424" t="s">
        <v>1562</v>
      </c>
      <c r="G1424" t="s">
        <v>1865</v>
      </c>
      <c r="H1424" s="4">
        <v>45822</v>
      </c>
      <c r="I1424" t="s">
        <v>1966</v>
      </c>
    </row>
    <row r="1425" spans="1:9" x14ac:dyDescent="0.25">
      <c r="A1425" t="s">
        <v>776</v>
      </c>
      <c r="B1425" t="s">
        <v>304</v>
      </c>
      <c r="C1425" s="3">
        <v>30</v>
      </c>
      <c r="D1425" t="s">
        <v>53</v>
      </c>
      <c r="E1425">
        <v>538576</v>
      </c>
      <c r="F1425" t="s">
        <v>1562</v>
      </c>
      <c r="G1425" t="s">
        <v>1865</v>
      </c>
      <c r="H1425" s="4">
        <v>45822</v>
      </c>
      <c r="I1425" t="s">
        <v>1966</v>
      </c>
    </row>
    <row r="1426" spans="1:9" x14ac:dyDescent="0.25">
      <c r="A1426" t="s">
        <v>775</v>
      </c>
      <c r="B1426" t="s">
        <v>304</v>
      </c>
      <c r="C1426" s="3">
        <v>25</v>
      </c>
      <c r="D1426" t="s">
        <v>53</v>
      </c>
      <c r="E1426">
        <v>538577</v>
      </c>
      <c r="F1426" t="s">
        <v>1562</v>
      </c>
      <c r="G1426" t="s">
        <v>1865</v>
      </c>
      <c r="H1426" s="4">
        <v>45822</v>
      </c>
      <c r="I1426" t="s">
        <v>1966</v>
      </c>
    </row>
    <row r="1427" spans="1:9" x14ac:dyDescent="0.25">
      <c r="A1427" t="s">
        <v>774</v>
      </c>
      <c r="B1427" t="s">
        <v>304</v>
      </c>
      <c r="C1427" s="3">
        <v>20</v>
      </c>
      <c r="D1427" t="s">
        <v>53</v>
      </c>
      <c r="E1427">
        <v>538578</v>
      </c>
      <c r="F1427" t="s">
        <v>1562</v>
      </c>
      <c r="G1427" t="s">
        <v>1865</v>
      </c>
      <c r="H1427" s="4">
        <v>45822</v>
      </c>
      <c r="I1427" t="s">
        <v>1966</v>
      </c>
    </row>
    <row r="1428" spans="1:9" x14ac:dyDescent="0.25">
      <c r="A1428" t="s">
        <v>773</v>
      </c>
      <c r="B1428" t="s">
        <v>304</v>
      </c>
      <c r="C1428" s="3">
        <v>20</v>
      </c>
      <c r="D1428" t="s">
        <v>53</v>
      </c>
      <c r="E1428">
        <v>538579</v>
      </c>
      <c r="F1428" t="s">
        <v>1562</v>
      </c>
      <c r="G1428" t="s">
        <v>1865</v>
      </c>
      <c r="H1428" s="4">
        <v>45822</v>
      </c>
      <c r="I1428" t="s">
        <v>1966</v>
      </c>
    </row>
    <row r="1429" spans="1:9" x14ac:dyDescent="0.25">
      <c r="A1429" t="s">
        <v>772</v>
      </c>
      <c r="B1429" t="s">
        <v>304</v>
      </c>
      <c r="C1429" s="3">
        <v>20</v>
      </c>
      <c r="D1429" t="s">
        <v>53</v>
      </c>
      <c r="E1429">
        <v>538580</v>
      </c>
      <c r="F1429" t="s">
        <v>1562</v>
      </c>
      <c r="G1429" t="s">
        <v>1865</v>
      </c>
      <c r="H1429" s="4">
        <v>45822</v>
      </c>
      <c r="I1429" t="s">
        <v>1966</v>
      </c>
    </row>
    <row r="1430" spans="1:9" x14ac:dyDescent="0.25">
      <c r="A1430" t="s">
        <v>771</v>
      </c>
      <c r="B1430" t="s">
        <v>304</v>
      </c>
      <c r="C1430" s="3">
        <v>10</v>
      </c>
      <c r="D1430" t="s">
        <v>53</v>
      </c>
      <c r="E1430">
        <v>538581</v>
      </c>
      <c r="F1430" t="s">
        <v>1562</v>
      </c>
      <c r="G1430" t="s">
        <v>1865</v>
      </c>
      <c r="H1430" s="4">
        <v>45822</v>
      </c>
      <c r="I1430" t="s">
        <v>1966</v>
      </c>
    </row>
    <row r="1431" spans="1:9" x14ac:dyDescent="0.25">
      <c r="A1431" t="s">
        <v>770</v>
      </c>
      <c r="B1431" t="s">
        <v>304</v>
      </c>
      <c r="C1431" s="3">
        <v>20</v>
      </c>
      <c r="D1431" t="s">
        <v>53</v>
      </c>
      <c r="E1431">
        <v>538582</v>
      </c>
      <c r="F1431" t="s">
        <v>1562</v>
      </c>
      <c r="G1431" t="s">
        <v>1865</v>
      </c>
      <c r="H1431" s="4">
        <v>45822</v>
      </c>
      <c r="I1431" t="s">
        <v>1966</v>
      </c>
    </row>
    <row r="1432" spans="1:9" x14ac:dyDescent="0.25">
      <c r="A1432" t="s">
        <v>769</v>
      </c>
      <c r="B1432" t="s">
        <v>304</v>
      </c>
      <c r="C1432" s="3">
        <v>100</v>
      </c>
      <c r="D1432" t="s">
        <v>53</v>
      </c>
      <c r="E1432">
        <v>538583</v>
      </c>
      <c r="F1432" t="s">
        <v>1562</v>
      </c>
      <c r="G1432" t="s">
        <v>1865</v>
      </c>
      <c r="H1432" s="4">
        <v>45822</v>
      </c>
      <c r="I1432" t="s">
        <v>1966</v>
      </c>
    </row>
    <row r="1433" spans="1:9" x14ac:dyDescent="0.25">
      <c r="A1433" t="s">
        <v>768</v>
      </c>
      <c r="B1433" t="s">
        <v>304</v>
      </c>
      <c r="C1433" s="3">
        <v>50</v>
      </c>
      <c r="D1433" t="s">
        <v>53</v>
      </c>
      <c r="E1433">
        <v>538584</v>
      </c>
      <c r="F1433" t="s">
        <v>1562</v>
      </c>
      <c r="G1433" t="s">
        <v>1865</v>
      </c>
      <c r="H1433" s="4">
        <v>45822</v>
      </c>
      <c r="I1433" t="s">
        <v>1966</v>
      </c>
    </row>
    <row r="1434" spans="1:9" x14ac:dyDescent="0.25">
      <c r="A1434" t="s">
        <v>767</v>
      </c>
      <c r="B1434" t="s">
        <v>304</v>
      </c>
      <c r="C1434" s="3">
        <v>50</v>
      </c>
      <c r="D1434" t="s">
        <v>53</v>
      </c>
      <c r="E1434">
        <v>538585</v>
      </c>
      <c r="F1434" t="s">
        <v>1562</v>
      </c>
      <c r="G1434" t="s">
        <v>1866</v>
      </c>
      <c r="H1434" s="4">
        <v>45822</v>
      </c>
      <c r="I1434" t="s">
        <v>1966</v>
      </c>
    </row>
    <row r="1435" spans="1:9" x14ac:dyDescent="0.25">
      <c r="A1435" t="s">
        <v>766</v>
      </c>
      <c r="B1435" t="s">
        <v>304</v>
      </c>
      <c r="C1435" s="3">
        <v>100</v>
      </c>
      <c r="D1435" t="s">
        <v>53</v>
      </c>
      <c r="E1435">
        <v>538586</v>
      </c>
      <c r="F1435" t="s">
        <v>1562</v>
      </c>
      <c r="G1435" t="s">
        <v>1867</v>
      </c>
      <c r="H1435" s="4">
        <v>45822</v>
      </c>
      <c r="I1435" t="s">
        <v>1966</v>
      </c>
    </row>
    <row r="1436" spans="1:9" x14ac:dyDescent="0.25">
      <c r="A1436" t="s">
        <v>765</v>
      </c>
      <c r="B1436" t="s">
        <v>304</v>
      </c>
      <c r="C1436" s="3">
        <v>100</v>
      </c>
      <c r="D1436" t="s">
        <v>53</v>
      </c>
      <c r="E1436">
        <v>538587</v>
      </c>
      <c r="F1436" t="s">
        <v>1562</v>
      </c>
      <c r="G1436" t="s">
        <v>1868</v>
      </c>
      <c r="H1436" s="4">
        <v>45822</v>
      </c>
      <c r="I1436" t="s">
        <v>1966</v>
      </c>
    </row>
    <row r="1437" spans="1:9" x14ac:dyDescent="0.25">
      <c r="A1437" t="s">
        <v>764</v>
      </c>
      <c r="B1437" t="s">
        <v>304</v>
      </c>
      <c r="C1437" s="3">
        <v>200</v>
      </c>
      <c r="D1437" t="s">
        <v>53</v>
      </c>
      <c r="E1437">
        <v>538588</v>
      </c>
      <c r="F1437" t="s">
        <v>1562</v>
      </c>
      <c r="G1437" t="s">
        <v>1869</v>
      </c>
      <c r="H1437" s="4">
        <v>45822</v>
      </c>
      <c r="I1437" t="s">
        <v>1966</v>
      </c>
    </row>
    <row r="1438" spans="1:9" x14ac:dyDescent="0.25">
      <c r="A1438" t="s">
        <v>763</v>
      </c>
      <c r="B1438" t="s">
        <v>304</v>
      </c>
      <c r="C1438" s="3">
        <v>250</v>
      </c>
      <c r="D1438" t="s">
        <v>53</v>
      </c>
      <c r="E1438">
        <v>538589</v>
      </c>
      <c r="F1438" t="s">
        <v>1562</v>
      </c>
      <c r="G1438" t="s">
        <v>1870</v>
      </c>
      <c r="H1438" s="4">
        <v>45822</v>
      </c>
      <c r="I1438" t="s">
        <v>1966</v>
      </c>
    </row>
    <row r="1439" spans="1:9" x14ac:dyDescent="0.25">
      <c r="A1439" t="s">
        <v>762</v>
      </c>
      <c r="B1439" t="s">
        <v>304</v>
      </c>
      <c r="C1439" s="3">
        <v>50</v>
      </c>
      <c r="D1439" t="s">
        <v>53</v>
      </c>
      <c r="E1439">
        <v>538590</v>
      </c>
      <c r="F1439" t="s">
        <v>1562</v>
      </c>
      <c r="G1439" t="s">
        <v>1871</v>
      </c>
      <c r="H1439" s="4">
        <v>45822</v>
      </c>
      <c r="I1439" t="s">
        <v>1966</v>
      </c>
    </row>
    <row r="1440" spans="1:9" x14ac:dyDescent="0.25">
      <c r="A1440" t="s">
        <v>935</v>
      </c>
      <c r="B1440" t="s">
        <v>304</v>
      </c>
      <c r="C1440" s="3">
        <v>300</v>
      </c>
      <c r="D1440" t="s">
        <v>53</v>
      </c>
      <c r="E1440">
        <v>538351</v>
      </c>
      <c r="F1440" t="s">
        <v>1562</v>
      </c>
      <c r="G1440" t="s">
        <v>1872</v>
      </c>
      <c r="H1440" s="4">
        <v>45824</v>
      </c>
      <c r="I1440" t="s">
        <v>1966</v>
      </c>
    </row>
    <row r="1441" spans="1:9" x14ac:dyDescent="0.25">
      <c r="A1441" t="s">
        <v>317</v>
      </c>
      <c r="B1441" t="s">
        <v>304</v>
      </c>
      <c r="C1441" s="3">
        <v>40</v>
      </c>
      <c r="D1441" t="s">
        <v>53</v>
      </c>
      <c r="E1441">
        <v>538357</v>
      </c>
      <c r="F1441" t="s">
        <v>1562</v>
      </c>
      <c r="H1441" s="4">
        <v>45824</v>
      </c>
      <c r="I1441" t="s">
        <v>1966</v>
      </c>
    </row>
    <row r="1442" spans="1:9" x14ac:dyDescent="0.25">
      <c r="A1442" t="s">
        <v>354</v>
      </c>
      <c r="B1442" t="s">
        <v>304</v>
      </c>
      <c r="C1442" s="3">
        <v>65</v>
      </c>
      <c r="D1442" t="s">
        <v>53</v>
      </c>
      <c r="E1442">
        <v>539872</v>
      </c>
      <c r="F1442" t="s">
        <v>1562</v>
      </c>
      <c r="H1442" s="4">
        <v>45824</v>
      </c>
      <c r="I1442" t="s">
        <v>1966</v>
      </c>
    </row>
    <row r="1443" spans="1:9" x14ac:dyDescent="0.25">
      <c r="A1443" t="s">
        <v>364</v>
      </c>
      <c r="B1443" t="s">
        <v>304</v>
      </c>
      <c r="C1443" s="3">
        <v>65</v>
      </c>
      <c r="D1443" t="s">
        <v>53</v>
      </c>
      <c r="E1443">
        <v>539870</v>
      </c>
      <c r="F1443" t="s">
        <v>1562</v>
      </c>
      <c r="H1443" s="4">
        <v>45824</v>
      </c>
      <c r="I1443" t="s">
        <v>1966</v>
      </c>
    </row>
    <row r="1444" spans="1:9" x14ac:dyDescent="0.25">
      <c r="A1444" t="s">
        <v>368</v>
      </c>
      <c r="B1444" t="s">
        <v>304</v>
      </c>
      <c r="C1444" s="3">
        <v>50</v>
      </c>
      <c r="D1444" t="s">
        <v>53</v>
      </c>
      <c r="E1444">
        <v>539874</v>
      </c>
      <c r="F1444" t="s">
        <v>1562</v>
      </c>
      <c r="G1444" t="s">
        <v>1713</v>
      </c>
      <c r="H1444" s="4">
        <v>45824</v>
      </c>
      <c r="I1444" t="s">
        <v>1966</v>
      </c>
    </row>
    <row r="1445" spans="1:9" x14ac:dyDescent="0.25">
      <c r="A1445" t="s">
        <v>367</v>
      </c>
      <c r="B1445" t="s">
        <v>304</v>
      </c>
      <c r="C1445" s="3">
        <v>200</v>
      </c>
      <c r="D1445" t="s">
        <v>53</v>
      </c>
      <c r="E1445">
        <v>539875</v>
      </c>
      <c r="F1445" t="s">
        <v>1562</v>
      </c>
      <c r="G1445" t="s">
        <v>1713</v>
      </c>
      <c r="H1445" s="4">
        <v>45824</v>
      </c>
      <c r="I1445" t="s">
        <v>1966</v>
      </c>
    </row>
    <row r="1446" spans="1:9" x14ac:dyDescent="0.25">
      <c r="A1446" t="s">
        <v>366</v>
      </c>
      <c r="B1446" t="s">
        <v>304</v>
      </c>
      <c r="C1446" s="3">
        <v>50</v>
      </c>
      <c r="D1446" t="s">
        <v>53</v>
      </c>
      <c r="E1446">
        <v>539876</v>
      </c>
      <c r="F1446" t="s">
        <v>1562</v>
      </c>
      <c r="G1446" t="s">
        <v>1728</v>
      </c>
      <c r="H1446" s="4">
        <v>45824</v>
      </c>
      <c r="I1446" t="s">
        <v>1966</v>
      </c>
    </row>
    <row r="1447" spans="1:9" x14ac:dyDescent="0.25">
      <c r="A1447" t="s">
        <v>365</v>
      </c>
      <c r="B1447" t="s">
        <v>304</v>
      </c>
      <c r="C1447" s="3">
        <v>50</v>
      </c>
      <c r="D1447" t="s">
        <v>53</v>
      </c>
      <c r="E1447">
        <v>539877</v>
      </c>
      <c r="F1447" t="s">
        <v>1562</v>
      </c>
      <c r="G1447" t="s">
        <v>1728</v>
      </c>
      <c r="H1447" s="4">
        <v>45824</v>
      </c>
      <c r="I1447" t="s">
        <v>1966</v>
      </c>
    </row>
    <row r="1448" spans="1:9" x14ac:dyDescent="0.25">
      <c r="A1448" t="s">
        <v>364</v>
      </c>
      <c r="B1448" t="s">
        <v>304</v>
      </c>
      <c r="C1448" s="3">
        <v>100</v>
      </c>
      <c r="D1448" t="s">
        <v>53</v>
      </c>
      <c r="E1448">
        <v>539878</v>
      </c>
      <c r="F1448" t="s">
        <v>1562</v>
      </c>
      <c r="G1448" t="s">
        <v>1873</v>
      </c>
      <c r="H1448" s="4">
        <v>45824</v>
      </c>
      <c r="I1448" t="s">
        <v>1966</v>
      </c>
    </row>
    <row r="1449" spans="1:9" x14ac:dyDescent="0.25">
      <c r="A1449" t="s">
        <v>363</v>
      </c>
      <c r="B1449" t="s">
        <v>304</v>
      </c>
      <c r="C1449" s="3">
        <v>100</v>
      </c>
      <c r="D1449" t="s">
        <v>53</v>
      </c>
      <c r="E1449">
        <v>539879</v>
      </c>
      <c r="F1449" t="s">
        <v>1562</v>
      </c>
      <c r="G1449" t="s">
        <v>1713</v>
      </c>
      <c r="H1449" s="4">
        <v>45824</v>
      </c>
      <c r="I1449" t="s">
        <v>1966</v>
      </c>
    </row>
    <row r="1450" spans="1:9" x14ac:dyDescent="0.25">
      <c r="A1450" t="s">
        <v>362</v>
      </c>
      <c r="B1450" t="s">
        <v>304</v>
      </c>
      <c r="C1450" s="3">
        <v>10</v>
      </c>
      <c r="D1450" t="s">
        <v>53</v>
      </c>
      <c r="E1450">
        <v>539880</v>
      </c>
      <c r="F1450" t="s">
        <v>1562</v>
      </c>
      <c r="G1450" t="s">
        <v>1728</v>
      </c>
      <c r="H1450" s="4">
        <v>45824</v>
      </c>
      <c r="I1450" t="s">
        <v>1966</v>
      </c>
    </row>
    <row r="1451" spans="1:9" x14ac:dyDescent="0.25">
      <c r="A1451" t="s">
        <v>361</v>
      </c>
      <c r="B1451" t="s">
        <v>304</v>
      </c>
      <c r="C1451" s="3">
        <v>25</v>
      </c>
      <c r="D1451" t="s">
        <v>53</v>
      </c>
      <c r="E1451">
        <v>539881</v>
      </c>
      <c r="F1451" t="s">
        <v>1562</v>
      </c>
      <c r="G1451" t="s">
        <v>1728</v>
      </c>
      <c r="H1451" s="4">
        <v>45824</v>
      </c>
      <c r="I1451" t="s">
        <v>1966</v>
      </c>
    </row>
    <row r="1452" spans="1:9" x14ac:dyDescent="0.25">
      <c r="A1452" t="s">
        <v>360</v>
      </c>
      <c r="B1452" t="s">
        <v>304</v>
      </c>
      <c r="C1452" s="3">
        <v>25</v>
      </c>
      <c r="D1452" t="s">
        <v>53</v>
      </c>
      <c r="E1452">
        <v>539882</v>
      </c>
      <c r="F1452" t="s">
        <v>1562</v>
      </c>
      <c r="G1452" t="s">
        <v>1728</v>
      </c>
      <c r="H1452" s="4">
        <v>45824</v>
      </c>
      <c r="I1452" t="s">
        <v>1966</v>
      </c>
    </row>
    <row r="1453" spans="1:9" x14ac:dyDescent="0.25">
      <c r="A1453" t="s">
        <v>359</v>
      </c>
      <c r="B1453" t="s">
        <v>304</v>
      </c>
      <c r="C1453" s="3">
        <v>50</v>
      </c>
      <c r="D1453" t="s">
        <v>53</v>
      </c>
      <c r="E1453">
        <v>539883</v>
      </c>
      <c r="F1453" t="s">
        <v>1562</v>
      </c>
      <c r="G1453" t="s">
        <v>1733</v>
      </c>
      <c r="H1453" s="4">
        <v>45824</v>
      </c>
      <c r="I1453" t="s">
        <v>1966</v>
      </c>
    </row>
    <row r="1454" spans="1:9" x14ac:dyDescent="0.25">
      <c r="A1454" t="s">
        <v>358</v>
      </c>
      <c r="B1454" t="s">
        <v>304</v>
      </c>
      <c r="C1454" s="3">
        <v>100</v>
      </c>
      <c r="D1454" t="s">
        <v>53</v>
      </c>
      <c r="E1454">
        <v>539884</v>
      </c>
      <c r="F1454" t="s">
        <v>1562</v>
      </c>
      <c r="G1454" t="s">
        <v>1740</v>
      </c>
      <c r="H1454" s="4">
        <v>45824</v>
      </c>
      <c r="I1454" t="s">
        <v>1966</v>
      </c>
    </row>
    <row r="1455" spans="1:9" x14ac:dyDescent="0.25">
      <c r="A1455" t="s">
        <v>357</v>
      </c>
      <c r="B1455" t="s">
        <v>304</v>
      </c>
      <c r="C1455" s="3">
        <v>25</v>
      </c>
      <c r="D1455" t="s">
        <v>53</v>
      </c>
      <c r="E1455">
        <v>539885</v>
      </c>
      <c r="F1455" t="s">
        <v>1562</v>
      </c>
      <c r="G1455" t="s">
        <v>1728</v>
      </c>
      <c r="H1455" s="4">
        <v>45824</v>
      </c>
      <c r="I1455" t="s">
        <v>1966</v>
      </c>
    </row>
    <row r="1456" spans="1:9" x14ac:dyDescent="0.25">
      <c r="A1456" t="s">
        <v>356</v>
      </c>
      <c r="B1456" t="s">
        <v>304</v>
      </c>
      <c r="C1456" s="3">
        <v>100</v>
      </c>
      <c r="D1456" t="s">
        <v>53</v>
      </c>
      <c r="E1456">
        <v>539886</v>
      </c>
      <c r="F1456" t="s">
        <v>1562</v>
      </c>
      <c r="G1456" t="s">
        <v>1712</v>
      </c>
      <c r="H1456" s="4">
        <v>45824</v>
      </c>
      <c r="I1456" t="s">
        <v>1966</v>
      </c>
    </row>
    <row r="1457" spans="1:9" x14ac:dyDescent="0.25">
      <c r="A1457" t="s">
        <v>355</v>
      </c>
      <c r="B1457" t="s">
        <v>304</v>
      </c>
      <c r="C1457" s="3">
        <v>500</v>
      </c>
      <c r="D1457" t="s">
        <v>53</v>
      </c>
      <c r="E1457">
        <v>539887</v>
      </c>
      <c r="F1457" t="s">
        <v>1562</v>
      </c>
      <c r="G1457" t="s">
        <v>1712</v>
      </c>
      <c r="H1457" s="4">
        <v>45824</v>
      </c>
      <c r="I1457" t="s">
        <v>1966</v>
      </c>
    </row>
    <row r="1458" spans="1:9" x14ac:dyDescent="0.25">
      <c r="A1458" t="s">
        <v>557</v>
      </c>
      <c r="B1458" t="s">
        <v>304</v>
      </c>
      <c r="C1458" s="3">
        <v>50</v>
      </c>
      <c r="D1458" t="s">
        <v>53</v>
      </c>
      <c r="E1458">
        <v>539896</v>
      </c>
      <c r="F1458" t="s">
        <v>1562</v>
      </c>
      <c r="G1458" t="s">
        <v>1690</v>
      </c>
      <c r="H1458" s="4">
        <v>45825</v>
      </c>
      <c r="I1458" t="s">
        <v>1966</v>
      </c>
    </row>
    <row r="1459" spans="1:9" x14ac:dyDescent="0.25">
      <c r="A1459" t="s">
        <v>556</v>
      </c>
      <c r="B1459" t="s">
        <v>304</v>
      </c>
      <c r="C1459" s="3">
        <v>25</v>
      </c>
      <c r="D1459" t="s">
        <v>53</v>
      </c>
      <c r="E1459">
        <v>539897</v>
      </c>
      <c r="F1459" t="s">
        <v>1562</v>
      </c>
      <c r="G1459" t="s">
        <v>1713</v>
      </c>
      <c r="H1459" s="4">
        <v>45825</v>
      </c>
      <c r="I1459" t="s">
        <v>1966</v>
      </c>
    </row>
    <row r="1460" spans="1:9" x14ac:dyDescent="0.25">
      <c r="A1460" t="s">
        <v>555</v>
      </c>
      <c r="B1460" t="s">
        <v>304</v>
      </c>
      <c r="C1460" s="3">
        <v>100</v>
      </c>
      <c r="D1460" t="s">
        <v>53</v>
      </c>
      <c r="E1460">
        <v>539898</v>
      </c>
      <c r="F1460" t="s">
        <v>1562</v>
      </c>
      <c r="G1460" t="s">
        <v>1727</v>
      </c>
      <c r="H1460" s="4">
        <v>45825</v>
      </c>
      <c r="I1460" t="s">
        <v>1966</v>
      </c>
    </row>
    <row r="1461" spans="1:9" x14ac:dyDescent="0.25">
      <c r="A1461" t="s">
        <v>554</v>
      </c>
      <c r="B1461" t="s">
        <v>304</v>
      </c>
      <c r="C1461" s="3">
        <v>50</v>
      </c>
      <c r="D1461" t="s">
        <v>53</v>
      </c>
      <c r="E1461">
        <v>539899</v>
      </c>
      <c r="F1461" t="s">
        <v>1562</v>
      </c>
      <c r="G1461" t="s">
        <v>1874</v>
      </c>
      <c r="H1461" s="4">
        <v>45825</v>
      </c>
      <c r="I1461" t="s">
        <v>1966</v>
      </c>
    </row>
    <row r="1462" spans="1:9" x14ac:dyDescent="0.25">
      <c r="A1462" t="s">
        <v>553</v>
      </c>
      <c r="B1462" t="s">
        <v>304</v>
      </c>
      <c r="C1462" s="3">
        <v>50</v>
      </c>
      <c r="D1462" t="s">
        <v>53</v>
      </c>
      <c r="E1462">
        <v>539900</v>
      </c>
      <c r="F1462" t="s">
        <v>1562</v>
      </c>
      <c r="G1462" t="s">
        <v>1874</v>
      </c>
      <c r="H1462" s="4">
        <v>45825</v>
      </c>
      <c r="I1462" t="s">
        <v>1966</v>
      </c>
    </row>
    <row r="1463" spans="1:9" x14ac:dyDescent="0.25">
      <c r="A1463" t="s">
        <v>552</v>
      </c>
      <c r="B1463" t="s">
        <v>304</v>
      </c>
      <c r="C1463" s="3">
        <v>100</v>
      </c>
      <c r="D1463" t="s">
        <v>53</v>
      </c>
      <c r="E1463">
        <v>539901</v>
      </c>
      <c r="F1463" t="s">
        <v>1562</v>
      </c>
      <c r="G1463" t="s">
        <v>1724</v>
      </c>
      <c r="H1463" s="4">
        <v>45825</v>
      </c>
      <c r="I1463" t="s">
        <v>1966</v>
      </c>
    </row>
    <row r="1464" spans="1:9" x14ac:dyDescent="0.25">
      <c r="A1464" t="s">
        <v>551</v>
      </c>
      <c r="B1464" t="s">
        <v>304</v>
      </c>
      <c r="C1464" s="3">
        <v>100</v>
      </c>
      <c r="D1464" t="s">
        <v>53</v>
      </c>
      <c r="E1464">
        <v>539902</v>
      </c>
      <c r="F1464" t="s">
        <v>1562</v>
      </c>
      <c r="G1464" t="s">
        <v>1874</v>
      </c>
      <c r="H1464" s="4">
        <v>45825</v>
      </c>
      <c r="I1464" t="s">
        <v>1966</v>
      </c>
    </row>
    <row r="1465" spans="1:9" x14ac:dyDescent="0.25">
      <c r="A1465" t="s">
        <v>550</v>
      </c>
      <c r="B1465" t="s">
        <v>304</v>
      </c>
      <c r="C1465" s="3">
        <v>100</v>
      </c>
      <c r="D1465" t="s">
        <v>53</v>
      </c>
      <c r="E1465">
        <v>539903</v>
      </c>
      <c r="F1465" t="s">
        <v>1562</v>
      </c>
      <c r="G1465" t="s">
        <v>1875</v>
      </c>
      <c r="H1465" s="4">
        <v>45825</v>
      </c>
      <c r="I1465" t="s">
        <v>1966</v>
      </c>
    </row>
    <row r="1466" spans="1:9" x14ac:dyDescent="0.25">
      <c r="A1466" t="s">
        <v>549</v>
      </c>
      <c r="B1466" t="s">
        <v>304</v>
      </c>
      <c r="C1466" s="3">
        <v>50</v>
      </c>
      <c r="D1466" t="s">
        <v>53</v>
      </c>
      <c r="E1466">
        <v>539904</v>
      </c>
      <c r="F1466" t="s">
        <v>1562</v>
      </c>
      <c r="G1466" t="s">
        <v>1875</v>
      </c>
      <c r="H1466" s="4">
        <v>45825</v>
      </c>
      <c r="I1466" t="s">
        <v>1966</v>
      </c>
    </row>
    <row r="1467" spans="1:9" x14ac:dyDescent="0.25">
      <c r="A1467" t="s">
        <v>548</v>
      </c>
      <c r="B1467" t="s">
        <v>304</v>
      </c>
      <c r="C1467" s="3">
        <v>25</v>
      </c>
      <c r="D1467" t="s">
        <v>53</v>
      </c>
      <c r="E1467">
        <v>539905</v>
      </c>
      <c r="F1467" t="s">
        <v>1562</v>
      </c>
      <c r="G1467" t="s">
        <v>1875</v>
      </c>
      <c r="H1467" s="4">
        <v>45825</v>
      </c>
      <c r="I1467" t="s">
        <v>1966</v>
      </c>
    </row>
    <row r="1468" spans="1:9" x14ac:dyDescent="0.25">
      <c r="A1468" t="s">
        <v>547</v>
      </c>
      <c r="B1468" t="s">
        <v>304</v>
      </c>
      <c r="C1468" s="3">
        <v>50</v>
      </c>
      <c r="D1468" t="s">
        <v>53</v>
      </c>
      <c r="E1468">
        <v>539906</v>
      </c>
      <c r="F1468" t="s">
        <v>1562</v>
      </c>
      <c r="G1468" t="s">
        <v>1875</v>
      </c>
      <c r="H1468" s="4">
        <v>45825</v>
      </c>
      <c r="I1468" t="s">
        <v>1966</v>
      </c>
    </row>
    <row r="1469" spans="1:9" x14ac:dyDescent="0.25">
      <c r="A1469" t="s">
        <v>546</v>
      </c>
      <c r="B1469" t="s">
        <v>304</v>
      </c>
      <c r="C1469" s="3">
        <v>25</v>
      </c>
      <c r="D1469" t="s">
        <v>53</v>
      </c>
      <c r="E1469">
        <v>539907</v>
      </c>
      <c r="F1469" t="s">
        <v>1562</v>
      </c>
      <c r="G1469" t="s">
        <v>1875</v>
      </c>
      <c r="H1469" s="4">
        <v>45825</v>
      </c>
      <c r="I1469" t="s">
        <v>1966</v>
      </c>
    </row>
    <row r="1470" spans="1:9" x14ac:dyDescent="0.25">
      <c r="A1470" t="s">
        <v>545</v>
      </c>
      <c r="B1470" t="s">
        <v>304</v>
      </c>
      <c r="C1470" s="3">
        <v>10</v>
      </c>
      <c r="D1470" t="s">
        <v>53</v>
      </c>
      <c r="E1470">
        <v>539908</v>
      </c>
      <c r="F1470" t="s">
        <v>1562</v>
      </c>
      <c r="G1470" t="s">
        <v>1874</v>
      </c>
      <c r="H1470" s="4">
        <v>45825</v>
      </c>
      <c r="I1470" t="s">
        <v>1966</v>
      </c>
    </row>
    <row r="1471" spans="1:9" x14ac:dyDescent="0.25">
      <c r="A1471" t="s">
        <v>544</v>
      </c>
      <c r="B1471" t="s">
        <v>304</v>
      </c>
      <c r="C1471" s="3">
        <v>25</v>
      </c>
      <c r="D1471" t="s">
        <v>53</v>
      </c>
      <c r="E1471">
        <v>539909</v>
      </c>
      <c r="F1471" t="s">
        <v>1562</v>
      </c>
      <c r="G1471" t="s">
        <v>1875</v>
      </c>
      <c r="H1471" s="4">
        <v>45825</v>
      </c>
      <c r="I1471" t="s">
        <v>1966</v>
      </c>
    </row>
    <row r="1472" spans="1:9" x14ac:dyDescent="0.25">
      <c r="A1472" t="s">
        <v>543</v>
      </c>
      <c r="B1472" t="s">
        <v>304</v>
      </c>
      <c r="C1472" s="3">
        <v>25</v>
      </c>
      <c r="D1472" t="s">
        <v>53</v>
      </c>
      <c r="E1472">
        <v>539910</v>
      </c>
      <c r="F1472" t="s">
        <v>1562</v>
      </c>
      <c r="G1472" t="s">
        <v>1733</v>
      </c>
      <c r="H1472" s="4">
        <v>45825</v>
      </c>
      <c r="I1472" t="s">
        <v>1966</v>
      </c>
    </row>
    <row r="1473" spans="1:9" x14ac:dyDescent="0.25">
      <c r="A1473" t="s">
        <v>542</v>
      </c>
      <c r="B1473" t="s">
        <v>304</v>
      </c>
      <c r="C1473" s="3">
        <v>50</v>
      </c>
      <c r="D1473" t="s">
        <v>53</v>
      </c>
      <c r="E1473">
        <v>539911</v>
      </c>
      <c r="F1473" t="s">
        <v>1562</v>
      </c>
      <c r="G1473" t="s">
        <v>1874</v>
      </c>
      <c r="H1473" s="4">
        <v>45825</v>
      </c>
      <c r="I1473" t="s">
        <v>1966</v>
      </c>
    </row>
    <row r="1474" spans="1:9" x14ac:dyDescent="0.25">
      <c r="A1474" t="s">
        <v>541</v>
      </c>
      <c r="B1474" t="s">
        <v>304</v>
      </c>
      <c r="C1474" s="3">
        <v>100</v>
      </c>
      <c r="D1474" t="s">
        <v>53</v>
      </c>
      <c r="E1474">
        <v>539912</v>
      </c>
      <c r="F1474" t="s">
        <v>1562</v>
      </c>
      <c r="G1474" t="s">
        <v>1874</v>
      </c>
      <c r="H1474" s="4">
        <v>45825</v>
      </c>
      <c r="I1474" t="s">
        <v>1966</v>
      </c>
    </row>
    <row r="1475" spans="1:9" x14ac:dyDescent="0.25">
      <c r="A1475" t="s">
        <v>540</v>
      </c>
      <c r="B1475" t="s">
        <v>304</v>
      </c>
      <c r="C1475" s="3">
        <v>25</v>
      </c>
      <c r="D1475" t="s">
        <v>53</v>
      </c>
      <c r="E1475">
        <v>539913</v>
      </c>
      <c r="F1475" t="s">
        <v>1562</v>
      </c>
      <c r="G1475" t="s">
        <v>1733</v>
      </c>
      <c r="H1475" s="4">
        <v>45825</v>
      </c>
      <c r="I1475" t="s">
        <v>1966</v>
      </c>
    </row>
    <row r="1476" spans="1:9" x14ac:dyDescent="0.25">
      <c r="A1476" t="s">
        <v>539</v>
      </c>
      <c r="B1476" t="s">
        <v>304</v>
      </c>
      <c r="C1476" s="3">
        <v>25</v>
      </c>
      <c r="D1476" t="s">
        <v>53</v>
      </c>
      <c r="E1476">
        <v>539914</v>
      </c>
      <c r="F1476" t="s">
        <v>1562</v>
      </c>
      <c r="G1476" t="s">
        <v>1691</v>
      </c>
      <c r="H1476" s="4">
        <v>45825</v>
      </c>
      <c r="I1476" t="s">
        <v>1966</v>
      </c>
    </row>
    <row r="1477" spans="1:9" x14ac:dyDescent="0.25">
      <c r="A1477" t="s">
        <v>538</v>
      </c>
      <c r="B1477" t="s">
        <v>304</v>
      </c>
      <c r="C1477" s="3">
        <v>25</v>
      </c>
      <c r="D1477" t="s">
        <v>53</v>
      </c>
      <c r="E1477">
        <v>539915</v>
      </c>
      <c r="F1477" t="s">
        <v>1562</v>
      </c>
      <c r="G1477" t="s">
        <v>1733</v>
      </c>
      <c r="H1477" s="4">
        <v>45825</v>
      </c>
      <c r="I1477" t="s">
        <v>1966</v>
      </c>
    </row>
    <row r="1478" spans="1:9" x14ac:dyDescent="0.25">
      <c r="A1478" t="s">
        <v>537</v>
      </c>
      <c r="B1478" t="s">
        <v>304</v>
      </c>
      <c r="C1478" s="3">
        <v>50</v>
      </c>
      <c r="D1478" t="s">
        <v>53</v>
      </c>
      <c r="E1478">
        <v>539916</v>
      </c>
      <c r="F1478" t="s">
        <v>1562</v>
      </c>
      <c r="G1478" t="s">
        <v>1722</v>
      </c>
      <c r="H1478" s="4">
        <v>45825</v>
      </c>
      <c r="I1478" t="s">
        <v>1966</v>
      </c>
    </row>
    <row r="1479" spans="1:9" x14ac:dyDescent="0.25">
      <c r="A1479" t="s">
        <v>536</v>
      </c>
      <c r="B1479" t="s">
        <v>304</v>
      </c>
      <c r="C1479" s="3">
        <v>50</v>
      </c>
      <c r="D1479" t="s">
        <v>53</v>
      </c>
      <c r="E1479">
        <v>539917</v>
      </c>
      <c r="F1479" t="s">
        <v>1562</v>
      </c>
      <c r="G1479" t="s">
        <v>1691</v>
      </c>
      <c r="H1479" s="4">
        <v>45825</v>
      </c>
      <c r="I1479" t="s">
        <v>1966</v>
      </c>
    </row>
    <row r="1480" spans="1:9" x14ac:dyDescent="0.25">
      <c r="A1480" t="s">
        <v>535</v>
      </c>
      <c r="B1480" t="s">
        <v>304</v>
      </c>
      <c r="C1480" s="3">
        <v>25</v>
      </c>
      <c r="D1480" t="s">
        <v>53</v>
      </c>
      <c r="E1480">
        <v>539918</v>
      </c>
      <c r="F1480" t="s">
        <v>1562</v>
      </c>
      <c r="G1480" t="s">
        <v>1733</v>
      </c>
      <c r="H1480" s="4">
        <v>45825</v>
      </c>
      <c r="I1480" t="s">
        <v>1966</v>
      </c>
    </row>
    <row r="1481" spans="1:9" x14ac:dyDescent="0.25">
      <c r="A1481" t="s">
        <v>534</v>
      </c>
      <c r="B1481" t="s">
        <v>304</v>
      </c>
      <c r="C1481" s="3">
        <v>50</v>
      </c>
      <c r="D1481" t="s">
        <v>53</v>
      </c>
      <c r="E1481">
        <v>539919</v>
      </c>
      <c r="F1481" t="s">
        <v>1562</v>
      </c>
      <c r="G1481" t="s">
        <v>1713</v>
      </c>
      <c r="H1481" s="4">
        <v>45825</v>
      </c>
      <c r="I1481" t="s">
        <v>1966</v>
      </c>
    </row>
    <row r="1482" spans="1:9" x14ac:dyDescent="0.25">
      <c r="A1482" t="s">
        <v>533</v>
      </c>
      <c r="B1482" t="s">
        <v>304</v>
      </c>
      <c r="C1482" s="3">
        <v>100</v>
      </c>
      <c r="D1482" t="s">
        <v>53</v>
      </c>
      <c r="E1482">
        <v>539920</v>
      </c>
      <c r="F1482" t="s">
        <v>1562</v>
      </c>
      <c r="G1482" t="s">
        <v>1722</v>
      </c>
      <c r="H1482" s="4">
        <v>45825</v>
      </c>
      <c r="I1482" t="s">
        <v>1966</v>
      </c>
    </row>
    <row r="1483" spans="1:9" x14ac:dyDescent="0.25">
      <c r="A1483" t="s">
        <v>532</v>
      </c>
      <c r="B1483" t="s">
        <v>304</v>
      </c>
      <c r="C1483" s="3">
        <v>50</v>
      </c>
      <c r="D1483" t="s">
        <v>53</v>
      </c>
      <c r="E1483">
        <v>539921</v>
      </c>
      <c r="F1483" t="s">
        <v>1562</v>
      </c>
      <c r="G1483" t="s">
        <v>1740</v>
      </c>
      <c r="H1483" s="4">
        <v>45825</v>
      </c>
      <c r="I1483" t="s">
        <v>1966</v>
      </c>
    </row>
    <row r="1484" spans="1:9" x14ac:dyDescent="0.25">
      <c r="A1484" t="s">
        <v>531</v>
      </c>
      <c r="B1484" t="s">
        <v>304</v>
      </c>
      <c r="C1484" s="3">
        <v>100</v>
      </c>
      <c r="D1484" t="s">
        <v>53</v>
      </c>
      <c r="E1484">
        <v>539922</v>
      </c>
      <c r="F1484" t="s">
        <v>1562</v>
      </c>
      <c r="G1484" t="s">
        <v>1722</v>
      </c>
      <c r="H1484" s="4">
        <v>45825</v>
      </c>
      <c r="I1484" t="s">
        <v>1966</v>
      </c>
    </row>
    <row r="1485" spans="1:9" x14ac:dyDescent="0.25">
      <c r="A1485" t="s">
        <v>530</v>
      </c>
      <c r="B1485" t="s">
        <v>304</v>
      </c>
      <c r="C1485" s="3">
        <v>50</v>
      </c>
      <c r="D1485" t="s">
        <v>53</v>
      </c>
      <c r="E1485">
        <v>539923</v>
      </c>
      <c r="F1485" t="s">
        <v>1562</v>
      </c>
      <c r="G1485" t="s">
        <v>1690</v>
      </c>
      <c r="H1485" s="4">
        <v>45825</v>
      </c>
      <c r="I1485" t="s">
        <v>1966</v>
      </c>
    </row>
    <row r="1486" spans="1:9" x14ac:dyDescent="0.25">
      <c r="A1486" t="s">
        <v>529</v>
      </c>
      <c r="B1486" t="s">
        <v>304</v>
      </c>
      <c r="C1486" s="3">
        <v>25</v>
      </c>
      <c r="D1486" t="s">
        <v>53</v>
      </c>
      <c r="E1486">
        <v>539924</v>
      </c>
      <c r="F1486" t="s">
        <v>1562</v>
      </c>
      <c r="G1486" t="s">
        <v>1727</v>
      </c>
      <c r="H1486" s="4">
        <v>45825</v>
      </c>
      <c r="I1486" t="s">
        <v>1966</v>
      </c>
    </row>
    <row r="1487" spans="1:9" x14ac:dyDescent="0.25">
      <c r="A1487" t="s">
        <v>351</v>
      </c>
      <c r="B1487" t="s">
        <v>304</v>
      </c>
      <c r="C1487" s="3">
        <v>65</v>
      </c>
      <c r="D1487" t="s">
        <v>53</v>
      </c>
      <c r="E1487">
        <v>539926</v>
      </c>
      <c r="F1487" t="s">
        <v>1562</v>
      </c>
      <c r="H1487" s="4">
        <v>45825</v>
      </c>
      <c r="I1487" t="s">
        <v>1966</v>
      </c>
    </row>
    <row r="1488" spans="1:9" x14ac:dyDescent="0.25">
      <c r="A1488" t="s">
        <v>350</v>
      </c>
      <c r="B1488" t="s">
        <v>304</v>
      </c>
      <c r="C1488" s="3">
        <v>65</v>
      </c>
      <c r="D1488" t="s">
        <v>53</v>
      </c>
      <c r="E1488">
        <v>539927</v>
      </c>
      <c r="F1488" t="s">
        <v>1562</v>
      </c>
      <c r="H1488" s="4">
        <v>45825</v>
      </c>
      <c r="I1488" t="s">
        <v>1966</v>
      </c>
    </row>
    <row r="1489" spans="1:9" x14ac:dyDescent="0.25">
      <c r="A1489" t="s">
        <v>349</v>
      </c>
      <c r="B1489" t="s">
        <v>304</v>
      </c>
      <c r="C1489" s="3">
        <v>130</v>
      </c>
      <c r="D1489" t="s">
        <v>53</v>
      </c>
      <c r="E1489">
        <v>539928</v>
      </c>
      <c r="F1489" t="s">
        <v>1562</v>
      </c>
      <c r="H1489" s="4">
        <v>45825</v>
      </c>
      <c r="I1489" t="s">
        <v>1966</v>
      </c>
    </row>
    <row r="1490" spans="1:9" x14ac:dyDescent="0.25">
      <c r="A1490" t="s">
        <v>348</v>
      </c>
      <c r="B1490" t="s">
        <v>304</v>
      </c>
      <c r="C1490" s="3">
        <v>65</v>
      </c>
      <c r="D1490" t="s">
        <v>53</v>
      </c>
      <c r="E1490">
        <v>539929</v>
      </c>
      <c r="F1490" t="s">
        <v>1562</v>
      </c>
      <c r="H1490" s="4">
        <v>45825</v>
      </c>
      <c r="I1490" t="s">
        <v>1966</v>
      </c>
    </row>
    <row r="1491" spans="1:9" x14ac:dyDescent="0.25">
      <c r="A1491" t="s">
        <v>347</v>
      </c>
      <c r="B1491" t="s">
        <v>304</v>
      </c>
      <c r="C1491" s="3">
        <v>130</v>
      </c>
      <c r="D1491" t="s">
        <v>53</v>
      </c>
      <c r="E1491">
        <v>539930</v>
      </c>
      <c r="F1491" t="s">
        <v>1562</v>
      </c>
      <c r="H1491" s="4">
        <v>45825</v>
      </c>
      <c r="I1491" t="s">
        <v>1966</v>
      </c>
    </row>
    <row r="1492" spans="1:9" x14ac:dyDescent="0.25">
      <c r="A1492" t="s">
        <v>407</v>
      </c>
      <c r="B1492" t="s">
        <v>304</v>
      </c>
      <c r="C1492" s="3">
        <v>20</v>
      </c>
      <c r="D1492" t="s">
        <v>53</v>
      </c>
      <c r="E1492">
        <v>539952</v>
      </c>
      <c r="F1492" t="s">
        <v>1562</v>
      </c>
      <c r="G1492" t="s">
        <v>1713</v>
      </c>
      <c r="H1492" s="4">
        <v>45826</v>
      </c>
      <c r="I1492" t="s">
        <v>1966</v>
      </c>
    </row>
    <row r="1493" spans="1:9" x14ac:dyDescent="0.25">
      <c r="A1493" t="s">
        <v>406</v>
      </c>
      <c r="B1493" t="s">
        <v>304</v>
      </c>
      <c r="C1493" s="3">
        <v>50</v>
      </c>
      <c r="D1493" t="s">
        <v>53</v>
      </c>
      <c r="E1493">
        <v>539953</v>
      </c>
      <c r="F1493" t="s">
        <v>1562</v>
      </c>
      <c r="G1493" t="s">
        <v>1875</v>
      </c>
      <c r="H1493" s="4">
        <v>45826</v>
      </c>
      <c r="I1493" t="s">
        <v>1966</v>
      </c>
    </row>
    <row r="1494" spans="1:9" x14ac:dyDescent="0.25">
      <c r="A1494" t="s">
        <v>140</v>
      </c>
      <c r="B1494" t="s">
        <v>304</v>
      </c>
      <c r="C1494" s="3">
        <v>50</v>
      </c>
      <c r="D1494" t="s">
        <v>53</v>
      </c>
      <c r="E1494">
        <v>539954</v>
      </c>
      <c r="F1494" t="s">
        <v>1562</v>
      </c>
      <c r="G1494" t="s">
        <v>1691</v>
      </c>
      <c r="H1494" s="4">
        <v>45826</v>
      </c>
      <c r="I1494" t="s">
        <v>1966</v>
      </c>
    </row>
    <row r="1495" spans="1:9" x14ac:dyDescent="0.25">
      <c r="A1495" t="s">
        <v>405</v>
      </c>
      <c r="B1495" t="s">
        <v>304</v>
      </c>
      <c r="C1495" s="3">
        <v>50</v>
      </c>
      <c r="D1495" t="s">
        <v>53</v>
      </c>
      <c r="E1495">
        <v>539955</v>
      </c>
      <c r="F1495" t="s">
        <v>1562</v>
      </c>
      <c r="G1495" t="s">
        <v>1733</v>
      </c>
      <c r="H1495" s="4">
        <v>45826</v>
      </c>
      <c r="I1495" t="s">
        <v>1966</v>
      </c>
    </row>
    <row r="1496" spans="1:9" x14ac:dyDescent="0.25">
      <c r="A1496" t="s">
        <v>404</v>
      </c>
      <c r="B1496" t="s">
        <v>304</v>
      </c>
      <c r="C1496" s="3">
        <v>50</v>
      </c>
      <c r="D1496" t="s">
        <v>53</v>
      </c>
      <c r="E1496">
        <v>539956</v>
      </c>
      <c r="F1496" t="s">
        <v>1562</v>
      </c>
      <c r="G1496" t="s">
        <v>1722</v>
      </c>
      <c r="H1496" s="4">
        <v>45826</v>
      </c>
      <c r="I1496" t="s">
        <v>1966</v>
      </c>
    </row>
    <row r="1497" spans="1:9" x14ac:dyDescent="0.25">
      <c r="A1497" t="s">
        <v>403</v>
      </c>
      <c r="B1497" t="s">
        <v>304</v>
      </c>
      <c r="C1497" s="3">
        <v>100</v>
      </c>
      <c r="D1497" t="s">
        <v>53</v>
      </c>
      <c r="E1497">
        <v>539957</v>
      </c>
      <c r="F1497" t="s">
        <v>1562</v>
      </c>
      <c r="G1497" t="s">
        <v>1722</v>
      </c>
      <c r="H1497" s="4">
        <v>45826</v>
      </c>
      <c r="I1497" t="s">
        <v>1966</v>
      </c>
    </row>
    <row r="1498" spans="1:9" x14ac:dyDescent="0.25">
      <c r="A1498" t="s">
        <v>402</v>
      </c>
      <c r="B1498" t="s">
        <v>304</v>
      </c>
      <c r="C1498" s="3">
        <v>100</v>
      </c>
      <c r="D1498" t="s">
        <v>53</v>
      </c>
      <c r="E1498">
        <v>539958</v>
      </c>
      <c r="F1498" t="s">
        <v>1562</v>
      </c>
      <c r="G1498" t="s">
        <v>1713</v>
      </c>
      <c r="H1498" s="4">
        <v>45826</v>
      </c>
      <c r="I1498" t="s">
        <v>1966</v>
      </c>
    </row>
    <row r="1499" spans="1:9" x14ac:dyDescent="0.25">
      <c r="A1499" t="s">
        <v>401</v>
      </c>
      <c r="B1499" t="s">
        <v>304</v>
      </c>
      <c r="C1499" s="3">
        <v>20</v>
      </c>
      <c r="D1499" t="s">
        <v>53</v>
      </c>
      <c r="E1499">
        <v>539959</v>
      </c>
      <c r="F1499" t="s">
        <v>1562</v>
      </c>
      <c r="G1499" t="s">
        <v>1740</v>
      </c>
      <c r="H1499" s="4">
        <v>45826</v>
      </c>
      <c r="I1499" t="s">
        <v>1966</v>
      </c>
    </row>
    <row r="1500" spans="1:9" x14ac:dyDescent="0.25">
      <c r="A1500" t="s">
        <v>400</v>
      </c>
      <c r="B1500" t="s">
        <v>304</v>
      </c>
      <c r="C1500" s="3">
        <v>25</v>
      </c>
      <c r="D1500" t="s">
        <v>53</v>
      </c>
      <c r="E1500">
        <v>539960</v>
      </c>
      <c r="F1500" t="s">
        <v>1562</v>
      </c>
      <c r="H1500" s="4">
        <v>45826</v>
      </c>
      <c r="I1500" t="s">
        <v>1966</v>
      </c>
    </row>
    <row r="1501" spans="1:9" x14ac:dyDescent="0.25">
      <c r="A1501" t="s">
        <v>399</v>
      </c>
      <c r="B1501" t="s">
        <v>304</v>
      </c>
      <c r="C1501" s="3">
        <v>25</v>
      </c>
      <c r="D1501" t="s">
        <v>53</v>
      </c>
      <c r="E1501">
        <v>539961</v>
      </c>
      <c r="F1501" t="s">
        <v>1562</v>
      </c>
      <c r="G1501" t="s">
        <v>1740</v>
      </c>
      <c r="H1501" s="4">
        <v>45826</v>
      </c>
      <c r="I1501" t="s">
        <v>1966</v>
      </c>
    </row>
    <row r="1502" spans="1:9" x14ac:dyDescent="0.25">
      <c r="A1502" t="s">
        <v>398</v>
      </c>
      <c r="B1502" t="s">
        <v>304</v>
      </c>
      <c r="C1502" s="3">
        <v>50</v>
      </c>
      <c r="D1502" t="s">
        <v>53</v>
      </c>
      <c r="E1502">
        <v>539962</v>
      </c>
      <c r="F1502" t="s">
        <v>1562</v>
      </c>
      <c r="G1502" t="s">
        <v>1740</v>
      </c>
      <c r="H1502" s="4">
        <v>45826</v>
      </c>
      <c r="I1502" t="s">
        <v>1966</v>
      </c>
    </row>
    <row r="1503" spans="1:9" x14ac:dyDescent="0.25">
      <c r="A1503" t="s">
        <v>397</v>
      </c>
      <c r="B1503" t="s">
        <v>304</v>
      </c>
      <c r="C1503" s="3">
        <v>25</v>
      </c>
      <c r="D1503" t="s">
        <v>53</v>
      </c>
      <c r="E1503">
        <v>539963</v>
      </c>
      <c r="F1503" t="s">
        <v>1562</v>
      </c>
      <c r="G1503" t="s">
        <v>1740</v>
      </c>
      <c r="H1503" s="4">
        <v>45826</v>
      </c>
      <c r="I1503" t="s">
        <v>1966</v>
      </c>
    </row>
    <row r="1504" spans="1:9" x14ac:dyDescent="0.25">
      <c r="A1504" t="s">
        <v>396</v>
      </c>
      <c r="B1504" t="s">
        <v>304</v>
      </c>
      <c r="C1504" s="3">
        <v>25</v>
      </c>
      <c r="D1504" t="s">
        <v>53</v>
      </c>
      <c r="E1504">
        <v>539964</v>
      </c>
      <c r="F1504" t="s">
        <v>1562</v>
      </c>
      <c r="G1504" t="s">
        <v>1728</v>
      </c>
      <c r="H1504" s="4">
        <v>45826</v>
      </c>
      <c r="I1504" t="s">
        <v>1966</v>
      </c>
    </row>
    <row r="1505" spans="1:9" x14ac:dyDescent="0.25">
      <c r="A1505" t="s">
        <v>395</v>
      </c>
      <c r="B1505" t="s">
        <v>304</v>
      </c>
      <c r="C1505" s="3">
        <v>55</v>
      </c>
      <c r="D1505" t="s">
        <v>53</v>
      </c>
      <c r="E1505">
        <v>539965</v>
      </c>
      <c r="F1505" t="s">
        <v>1562</v>
      </c>
      <c r="G1505" t="s">
        <v>1740</v>
      </c>
      <c r="H1505" s="4">
        <v>45826</v>
      </c>
      <c r="I1505" t="s">
        <v>1966</v>
      </c>
    </row>
    <row r="1506" spans="1:9" x14ac:dyDescent="0.25">
      <c r="A1506" t="s">
        <v>394</v>
      </c>
      <c r="B1506" t="s">
        <v>304</v>
      </c>
      <c r="C1506" s="3">
        <v>50</v>
      </c>
      <c r="D1506" t="s">
        <v>53</v>
      </c>
      <c r="E1506">
        <v>539966</v>
      </c>
      <c r="F1506" t="s">
        <v>1562</v>
      </c>
      <c r="G1506" t="s">
        <v>1728</v>
      </c>
      <c r="H1506" s="4">
        <v>45826</v>
      </c>
      <c r="I1506" t="s">
        <v>1966</v>
      </c>
    </row>
    <row r="1507" spans="1:9" x14ac:dyDescent="0.25">
      <c r="A1507" t="s">
        <v>393</v>
      </c>
      <c r="B1507" t="s">
        <v>304</v>
      </c>
      <c r="C1507" s="3">
        <v>25</v>
      </c>
      <c r="D1507" t="s">
        <v>53</v>
      </c>
      <c r="E1507">
        <v>539967</v>
      </c>
      <c r="F1507" t="s">
        <v>1562</v>
      </c>
      <c r="H1507" s="4">
        <v>45826</v>
      </c>
      <c r="I1507" t="s">
        <v>1966</v>
      </c>
    </row>
    <row r="1508" spans="1:9" x14ac:dyDescent="0.25">
      <c r="A1508" t="s">
        <v>392</v>
      </c>
      <c r="B1508" t="s">
        <v>304</v>
      </c>
      <c r="C1508" s="3">
        <v>20</v>
      </c>
      <c r="D1508" t="s">
        <v>53</v>
      </c>
      <c r="E1508">
        <v>539968</v>
      </c>
      <c r="F1508" t="s">
        <v>1562</v>
      </c>
      <c r="G1508" t="s">
        <v>1733</v>
      </c>
      <c r="H1508" s="4">
        <v>45826</v>
      </c>
      <c r="I1508" t="s">
        <v>1966</v>
      </c>
    </row>
    <row r="1509" spans="1:9" x14ac:dyDescent="0.25">
      <c r="A1509" t="s">
        <v>391</v>
      </c>
      <c r="B1509" t="s">
        <v>304</v>
      </c>
      <c r="C1509" s="3">
        <v>100</v>
      </c>
      <c r="D1509" t="s">
        <v>53</v>
      </c>
      <c r="E1509">
        <v>539969</v>
      </c>
      <c r="F1509" t="s">
        <v>1562</v>
      </c>
      <c r="G1509" t="s">
        <v>1713</v>
      </c>
      <c r="H1509" s="4">
        <v>45826</v>
      </c>
      <c r="I1509" t="s">
        <v>1966</v>
      </c>
    </row>
    <row r="1510" spans="1:9" x14ac:dyDescent="0.25">
      <c r="A1510" t="s">
        <v>390</v>
      </c>
      <c r="B1510" t="s">
        <v>304</v>
      </c>
      <c r="C1510" s="3">
        <v>20</v>
      </c>
      <c r="D1510" t="s">
        <v>53</v>
      </c>
      <c r="E1510">
        <v>539970</v>
      </c>
      <c r="F1510" t="s">
        <v>1562</v>
      </c>
      <c r="G1510" t="s">
        <v>1721</v>
      </c>
      <c r="H1510" s="4">
        <v>45826</v>
      </c>
      <c r="I1510" t="s">
        <v>1966</v>
      </c>
    </row>
    <row r="1511" spans="1:9" x14ac:dyDescent="0.25">
      <c r="A1511" t="s">
        <v>389</v>
      </c>
      <c r="B1511" t="s">
        <v>304</v>
      </c>
      <c r="C1511" s="3">
        <v>501</v>
      </c>
      <c r="D1511" t="s">
        <v>53</v>
      </c>
      <c r="E1511">
        <v>539971</v>
      </c>
      <c r="F1511" t="s">
        <v>1562</v>
      </c>
      <c r="G1511" t="s">
        <v>1728</v>
      </c>
      <c r="H1511" s="4">
        <v>45826</v>
      </c>
      <c r="I1511" t="s">
        <v>1966</v>
      </c>
    </row>
    <row r="1512" spans="1:9" x14ac:dyDescent="0.25">
      <c r="A1512" t="s">
        <v>388</v>
      </c>
      <c r="B1512" t="s">
        <v>304</v>
      </c>
      <c r="C1512" s="3">
        <v>25</v>
      </c>
      <c r="D1512" t="s">
        <v>53</v>
      </c>
      <c r="E1512">
        <v>539972</v>
      </c>
      <c r="F1512" t="s">
        <v>1562</v>
      </c>
      <c r="G1512" t="s">
        <v>1728</v>
      </c>
      <c r="H1512" s="4">
        <v>45826</v>
      </c>
      <c r="I1512" t="s">
        <v>1966</v>
      </c>
    </row>
    <row r="1513" spans="1:9" x14ac:dyDescent="0.25">
      <c r="A1513" t="s">
        <v>387</v>
      </c>
      <c r="B1513" t="s">
        <v>304</v>
      </c>
      <c r="C1513" s="3">
        <v>50</v>
      </c>
      <c r="D1513" t="s">
        <v>53</v>
      </c>
      <c r="E1513">
        <v>539973</v>
      </c>
      <c r="F1513" t="s">
        <v>1562</v>
      </c>
      <c r="G1513" t="s">
        <v>1722</v>
      </c>
      <c r="H1513" s="4">
        <v>45826</v>
      </c>
      <c r="I1513" t="s">
        <v>1966</v>
      </c>
    </row>
    <row r="1514" spans="1:9" x14ac:dyDescent="0.25">
      <c r="A1514" t="s">
        <v>386</v>
      </c>
      <c r="B1514" t="s">
        <v>304</v>
      </c>
      <c r="C1514" s="3">
        <v>20</v>
      </c>
      <c r="D1514" t="s">
        <v>53</v>
      </c>
      <c r="E1514">
        <v>539974</v>
      </c>
      <c r="F1514" t="s">
        <v>1562</v>
      </c>
      <c r="G1514" t="s">
        <v>1721</v>
      </c>
      <c r="H1514" s="4">
        <v>45826</v>
      </c>
      <c r="I1514" t="s">
        <v>1966</v>
      </c>
    </row>
    <row r="1515" spans="1:9" x14ac:dyDescent="0.25">
      <c r="A1515" t="s">
        <v>385</v>
      </c>
      <c r="B1515" t="s">
        <v>304</v>
      </c>
      <c r="C1515" s="3">
        <v>50</v>
      </c>
      <c r="D1515" t="s">
        <v>53</v>
      </c>
      <c r="E1515">
        <v>539975</v>
      </c>
      <c r="F1515" t="s">
        <v>1562</v>
      </c>
      <c r="G1515" t="s">
        <v>1876</v>
      </c>
      <c r="H1515" s="4">
        <v>45826</v>
      </c>
      <c r="I1515" t="s">
        <v>1966</v>
      </c>
    </row>
    <row r="1516" spans="1:9" x14ac:dyDescent="0.25">
      <c r="A1516" t="s">
        <v>124</v>
      </c>
      <c r="B1516" t="s">
        <v>304</v>
      </c>
      <c r="C1516" s="3">
        <v>50</v>
      </c>
      <c r="D1516" t="s">
        <v>53</v>
      </c>
      <c r="E1516">
        <v>539976</v>
      </c>
      <c r="F1516" t="s">
        <v>1562</v>
      </c>
      <c r="G1516" t="s">
        <v>1727</v>
      </c>
      <c r="H1516" s="4">
        <v>45826</v>
      </c>
      <c r="I1516" t="s">
        <v>1966</v>
      </c>
    </row>
    <row r="1517" spans="1:9" x14ac:dyDescent="0.25">
      <c r="A1517" t="s">
        <v>384</v>
      </c>
      <c r="B1517" t="s">
        <v>304</v>
      </c>
      <c r="C1517" s="3">
        <v>100</v>
      </c>
      <c r="D1517" t="s">
        <v>53</v>
      </c>
      <c r="E1517">
        <v>539977</v>
      </c>
      <c r="F1517" t="s">
        <v>1562</v>
      </c>
      <c r="G1517" t="s">
        <v>1874</v>
      </c>
      <c r="H1517" s="4">
        <v>45826</v>
      </c>
      <c r="I1517" t="s">
        <v>1966</v>
      </c>
    </row>
    <row r="1518" spans="1:9" x14ac:dyDescent="0.25">
      <c r="A1518" t="s">
        <v>383</v>
      </c>
      <c r="B1518" t="s">
        <v>304</v>
      </c>
      <c r="C1518" s="3">
        <v>50</v>
      </c>
      <c r="D1518" t="s">
        <v>53</v>
      </c>
      <c r="E1518">
        <v>539978</v>
      </c>
      <c r="F1518" t="s">
        <v>1562</v>
      </c>
      <c r="G1518" t="s">
        <v>1727</v>
      </c>
      <c r="H1518" s="4">
        <v>45826</v>
      </c>
      <c r="I1518" t="s">
        <v>1966</v>
      </c>
    </row>
    <row r="1519" spans="1:9" x14ac:dyDescent="0.25">
      <c r="A1519" t="s">
        <v>382</v>
      </c>
      <c r="B1519" t="s">
        <v>304</v>
      </c>
      <c r="C1519" s="3">
        <v>25</v>
      </c>
      <c r="D1519" t="s">
        <v>53</v>
      </c>
      <c r="E1519">
        <v>539979</v>
      </c>
      <c r="F1519" t="s">
        <v>1562</v>
      </c>
      <c r="G1519" t="s">
        <v>1733</v>
      </c>
      <c r="H1519" s="4">
        <v>45826</v>
      </c>
      <c r="I1519" t="s">
        <v>1966</v>
      </c>
    </row>
    <row r="1520" spans="1:9" x14ac:dyDescent="0.25">
      <c r="A1520" t="s">
        <v>381</v>
      </c>
      <c r="B1520" t="s">
        <v>304</v>
      </c>
      <c r="C1520" s="3">
        <v>50</v>
      </c>
      <c r="D1520" t="s">
        <v>53</v>
      </c>
      <c r="E1520">
        <v>539980</v>
      </c>
      <c r="F1520" t="s">
        <v>1562</v>
      </c>
      <c r="G1520" t="s">
        <v>1874</v>
      </c>
      <c r="H1520" s="4">
        <v>45826</v>
      </c>
      <c r="I1520" t="s">
        <v>1966</v>
      </c>
    </row>
    <row r="1521" spans="1:9" x14ac:dyDescent="0.25">
      <c r="A1521" t="s">
        <v>380</v>
      </c>
      <c r="B1521" t="s">
        <v>304</v>
      </c>
      <c r="C1521" s="3">
        <v>100</v>
      </c>
      <c r="D1521" t="s">
        <v>53</v>
      </c>
      <c r="E1521">
        <v>539981</v>
      </c>
      <c r="F1521" t="s">
        <v>1562</v>
      </c>
      <c r="G1521" t="s">
        <v>1713</v>
      </c>
      <c r="H1521" s="4">
        <v>45826</v>
      </c>
      <c r="I1521" t="s">
        <v>1966</v>
      </c>
    </row>
    <row r="1522" spans="1:9" x14ac:dyDescent="0.25">
      <c r="A1522" t="s">
        <v>379</v>
      </c>
      <c r="B1522" t="s">
        <v>304</v>
      </c>
      <c r="C1522" s="3">
        <v>50</v>
      </c>
      <c r="D1522" t="s">
        <v>53</v>
      </c>
      <c r="E1522">
        <v>539982</v>
      </c>
      <c r="F1522" t="s">
        <v>1562</v>
      </c>
      <c r="G1522" t="s">
        <v>1728</v>
      </c>
      <c r="H1522" s="4">
        <v>45826</v>
      </c>
      <c r="I1522" t="s">
        <v>1966</v>
      </c>
    </row>
    <row r="1523" spans="1:9" x14ac:dyDescent="0.25">
      <c r="A1523" t="s">
        <v>378</v>
      </c>
      <c r="B1523" t="s">
        <v>304</v>
      </c>
      <c r="C1523" s="3">
        <v>50</v>
      </c>
      <c r="D1523" t="s">
        <v>53</v>
      </c>
      <c r="E1523">
        <v>539983</v>
      </c>
      <c r="F1523" t="s">
        <v>1562</v>
      </c>
      <c r="G1523" t="s">
        <v>1722</v>
      </c>
      <c r="H1523" s="4">
        <v>45826</v>
      </c>
      <c r="I1523" t="s">
        <v>1966</v>
      </c>
    </row>
    <row r="1524" spans="1:9" x14ac:dyDescent="0.25">
      <c r="A1524" t="s">
        <v>377</v>
      </c>
      <c r="B1524" t="s">
        <v>304</v>
      </c>
      <c r="C1524" s="3">
        <v>125</v>
      </c>
      <c r="D1524" t="s">
        <v>53</v>
      </c>
      <c r="E1524">
        <v>539984</v>
      </c>
      <c r="F1524" t="s">
        <v>1562</v>
      </c>
      <c r="G1524" t="s">
        <v>1740</v>
      </c>
      <c r="H1524" s="4">
        <v>45826</v>
      </c>
      <c r="I1524" t="s">
        <v>1966</v>
      </c>
    </row>
    <row r="1525" spans="1:9" x14ac:dyDescent="0.25">
      <c r="A1525" t="s">
        <v>376</v>
      </c>
      <c r="B1525" t="s">
        <v>304</v>
      </c>
      <c r="C1525" s="3">
        <v>60</v>
      </c>
      <c r="D1525" t="s">
        <v>53</v>
      </c>
      <c r="E1525">
        <v>539985</v>
      </c>
      <c r="F1525" t="s">
        <v>1562</v>
      </c>
      <c r="H1525" s="4">
        <v>45826</v>
      </c>
      <c r="I1525" t="s">
        <v>1966</v>
      </c>
    </row>
    <row r="1526" spans="1:9" x14ac:dyDescent="0.25">
      <c r="A1526" t="s">
        <v>375</v>
      </c>
      <c r="B1526" t="s">
        <v>304</v>
      </c>
      <c r="C1526" s="3">
        <v>500</v>
      </c>
      <c r="D1526" t="s">
        <v>53</v>
      </c>
      <c r="E1526">
        <v>539986</v>
      </c>
      <c r="F1526" t="s">
        <v>1562</v>
      </c>
      <c r="H1526" s="4">
        <v>45826</v>
      </c>
      <c r="I1526" t="s">
        <v>1966</v>
      </c>
    </row>
    <row r="1527" spans="1:9" x14ac:dyDescent="0.25">
      <c r="A1527" t="s">
        <v>374</v>
      </c>
      <c r="B1527" t="s">
        <v>304</v>
      </c>
      <c r="C1527" s="3">
        <v>100</v>
      </c>
      <c r="D1527" t="s">
        <v>53</v>
      </c>
      <c r="E1527">
        <v>539987</v>
      </c>
      <c r="F1527" t="s">
        <v>1562</v>
      </c>
      <c r="H1527" s="4">
        <v>45826</v>
      </c>
      <c r="I1527" t="s">
        <v>1966</v>
      </c>
    </row>
    <row r="1528" spans="1:9" x14ac:dyDescent="0.25">
      <c r="A1528" t="s">
        <v>373</v>
      </c>
      <c r="B1528" t="s">
        <v>304</v>
      </c>
      <c r="C1528" s="3">
        <v>50</v>
      </c>
      <c r="D1528" t="s">
        <v>53</v>
      </c>
      <c r="E1528">
        <v>539988</v>
      </c>
      <c r="F1528" t="s">
        <v>1562</v>
      </c>
      <c r="G1528" t="s">
        <v>1722</v>
      </c>
      <c r="H1528" s="4">
        <v>45826</v>
      </c>
      <c r="I1528" t="s">
        <v>1966</v>
      </c>
    </row>
    <row r="1529" spans="1:9" x14ac:dyDescent="0.25">
      <c r="A1529" t="s">
        <v>44</v>
      </c>
      <c r="B1529" t="s">
        <v>304</v>
      </c>
      <c r="C1529" s="3">
        <v>25</v>
      </c>
      <c r="D1529" t="s">
        <v>53</v>
      </c>
      <c r="E1529">
        <v>539989</v>
      </c>
      <c r="F1529" t="s">
        <v>1562</v>
      </c>
      <c r="G1529" t="s">
        <v>1874</v>
      </c>
      <c r="H1529" s="4">
        <v>45826</v>
      </c>
      <c r="I1529" t="s">
        <v>1966</v>
      </c>
    </row>
    <row r="1530" spans="1:9" x14ac:dyDescent="0.25">
      <c r="A1530" t="s">
        <v>372</v>
      </c>
      <c r="B1530" t="s">
        <v>304</v>
      </c>
      <c r="C1530" s="3">
        <v>50</v>
      </c>
      <c r="D1530" t="s">
        <v>53</v>
      </c>
      <c r="E1530">
        <v>539990</v>
      </c>
      <c r="F1530" t="s">
        <v>1562</v>
      </c>
      <c r="H1530" s="4">
        <v>45826</v>
      </c>
      <c r="I1530" t="s">
        <v>1966</v>
      </c>
    </row>
    <row r="1531" spans="1:9" x14ac:dyDescent="0.25">
      <c r="A1531" t="s">
        <v>125</v>
      </c>
      <c r="B1531" t="s">
        <v>304</v>
      </c>
      <c r="C1531" s="3">
        <v>25</v>
      </c>
      <c r="D1531" t="s">
        <v>53</v>
      </c>
      <c r="E1531">
        <v>539991</v>
      </c>
      <c r="F1531" t="s">
        <v>1562</v>
      </c>
      <c r="G1531" t="s">
        <v>1724</v>
      </c>
      <c r="H1531" s="4">
        <v>45826</v>
      </c>
      <c r="I1531" t="s">
        <v>1966</v>
      </c>
    </row>
    <row r="1532" spans="1:9" x14ac:dyDescent="0.25">
      <c r="A1532" t="s">
        <v>34</v>
      </c>
      <c r="B1532" t="s">
        <v>304</v>
      </c>
      <c r="C1532" s="3">
        <v>100</v>
      </c>
      <c r="D1532" t="s">
        <v>53</v>
      </c>
      <c r="E1532">
        <v>539992</v>
      </c>
      <c r="F1532" t="s">
        <v>1562</v>
      </c>
      <c r="G1532" t="s">
        <v>1713</v>
      </c>
      <c r="H1532" s="4">
        <v>45826</v>
      </c>
      <c r="I1532" t="s">
        <v>1966</v>
      </c>
    </row>
    <row r="1533" spans="1:9" x14ac:dyDescent="0.25">
      <c r="A1533" t="s">
        <v>371</v>
      </c>
      <c r="B1533" t="s">
        <v>304</v>
      </c>
      <c r="C1533" s="3">
        <v>50</v>
      </c>
      <c r="D1533" t="s">
        <v>53</v>
      </c>
      <c r="E1533">
        <v>539993</v>
      </c>
      <c r="F1533" t="s">
        <v>1562</v>
      </c>
      <c r="G1533" t="s">
        <v>1733</v>
      </c>
      <c r="H1533" s="4">
        <v>45826</v>
      </c>
      <c r="I1533" t="s">
        <v>1966</v>
      </c>
    </row>
    <row r="1534" spans="1:9" x14ac:dyDescent="0.25">
      <c r="A1534" t="s">
        <v>370</v>
      </c>
      <c r="B1534" t="s">
        <v>304</v>
      </c>
      <c r="C1534" s="3">
        <v>65</v>
      </c>
      <c r="D1534" t="s">
        <v>53</v>
      </c>
      <c r="E1534">
        <v>539994</v>
      </c>
      <c r="F1534" t="s">
        <v>1562</v>
      </c>
      <c r="H1534" s="4">
        <v>45826</v>
      </c>
      <c r="I1534" t="s">
        <v>1966</v>
      </c>
    </row>
    <row r="1535" spans="1:9" x14ac:dyDescent="0.25">
      <c r="A1535" t="s">
        <v>369</v>
      </c>
      <c r="B1535" t="s">
        <v>304</v>
      </c>
      <c r="C1535" s="3">
        <v>65</v>
      </c>
      <c r="D1535" t="s">
        <v>53</v>
      </c>
      <c r="E1535">
        <v>539995</v>
      </c>
      <c r="F1535" t="s">
        <v>1562</v>
      </c>
      <c r="H1535" s="4">
        <v>45826</v>
      </c>
      <c r="I1535" t="s">
        <v>1966</v>
      </c>
    </row>
    <row r="1536" spans="1:9" x14ac:dyDescent="0.25">
      <c r="A1536" t="s">
        <v>188</v>
      </c>
      <c r="B1536" t="s">
        <v>304</v>
      </c>
      <c r="C1536" s="3">
        <v>65</v>
      </c>
      <c r="D1536" t="s">
        <v>53</v>
      </c>
      <c r="E1536">
        <v>539996</v>
      </c>
      <c r="F1536" t="s">
        <v>1562</v>
      </c>
      <c r="H1536" s="4">
        <v>45826</v>
      </c>
      <c r="I1536" t="s">
        <v>1966</v>
      </c>
    </row>
    <row r="1537" spans="1:9" x14ac:dyDescent="0.25">
      <c r="A1537" t="s">
        <v>435</v>
      </c>
      <c r="B1537" t="s">
        <v>304</v>
      </c>
      <c r="C1537" s="3">
        <v>65</v>
      </c>
      <c r="D1537" t="s">
        <v>53</v>
      </c>
      <c r="E1537">
        <v>539998</v>
      </c>
      <c r="F1537" t="s">
        <v>1562</v>
      </c>
      <c r="H1537" s="4">
        <v>45826</v>
      </c>
      <c r="I1537" t="s">
        <v>1966</v>
      </c>
    </row>
    <row r="1538" spans="1:9" x14ac:dyDescent="0.25">
      <c r="A1538" t="s">
        <v>434</v>
      </c>
      <c r="B1538" t="s">
        <v>304</v>
      </c>
      <c r="C1538" s="3">
        <v>65</v>
      </c>
      <c r="D1538" t="s">
        <v>53</v>
      </c>
      <c r="E1538">
        <v>539999</v>
      </c>
      <c r="F1538" t="s">
        <v>1562</v>
      </c>
      <c r="H1538" s="4">
        <v>45826</v>
      </c>
      <c r="I1538" t="s">
        <v>1966</v>
      </c>
    </row>
    <row r="1539" spans="1:9" x14ac:dyDescent="0.25">
      <c r="A1539" t="s">
        <v>433</v>
      </c>
      <c r="B1539" t="s">
        <v>304</v>
      </c>
      <c r="C1539" s="3">
        <v>65</v>
      </c>
      <c r="D1539" t="s">
        <v>53</v>
      </c>
      <c r="E1539">
        <v>540000</v>
      </c>
      <c r="F1539" t="s">
        <v>1562</v>
      </c>
      <c r="H1539" s="4">
        <v>45826</v>
      </c>
      <c r="I1539" t="s">
        <v>1966</v>
      </c>
    </row>
    <row r="1540" spans="1:9" x14ac:dyDescent="0.25">
      <c r="A1540" t="s">
        <v>432</v>
      </c>
      <c r="B1540" t="s">
        <v>304</v>
      </c>
      <c r="C1540" s="3">
        <v>65</v>
      </c>
      <c r="D1540" t="s">
        <v>53</v>
      </c>
      <c r="E1540">
        <v>540001</v>
      </c>
      <c r="F1540" t="s">
        <v>1562</v>
      </c>
      <c r="H1540" s="4">
        <v>45826</v>
      </c>
      <c r="I1540" t="s">
        <v>1966</v>
      </c>
    </row>
    <row r="1541" spans="1:9" x14ac:dyDescent="0.25">
      <c r="A1541" t="s">
        <v>431</v>
      </c>
      <c r="B1541" t="s">
        <v>304</v>
      </c>
      <c r="C1541" s="3">
        <v>65</v>
      </c>
      <c r="D1541" t="s">
        <v>53</v>
      </c>
      <c r="E1541">
        <v>540002</v>
      </c>
      <c r="F1541" t="s">
        <v>1562</v>
      </c>
      <c r="H1541" s="4">
        <v>45826</v>
      </c>
      <c r="I1541" t="s">
        <v>1966</v>
      </c>
    </row>
    <row r="1542" spans="1:9" x14ac:dyDescent="0.25">
      <c r="A1542" t="s">
        <v>430</v>
      </c>
      <c r="B1542" t="s">
        <v>304</v>
      </c>
      <c r="C1542" s="3">
        <v>65</v>
      </c>
      <c r="D1542" t="s">
        <v>53</v>
      </c>
      <c r="E1542">
        <v>540003</v>
      </c>
      <c r="F1542" t="s">
        <v>1562</v>
      </c>
      <c r="H1542" s="4">
        <v>45826</v>
      </c>
      <c r="I1542" t="s">
        <v>1966</v>
      </c>
    </row>
    <row r="1543" spans="1:9" x14ac:dyDescent="0.25">
      <c r="A1543" t="s">
        <v>134</v>
      </c>
      <c r="B1543" t="s">
        <v>304</v>
      </c>
      <c r="C1543" s="3">
        <v>65</v>
      </c>
      <c r="D1543" t="s">
        <v>53</v>
      </c>
      <c r="E1543">
        <v>540004</v>
      </c>
      <c r="F1543" t="s">
        <v>1562</v>
      </c>
      <c r="H1543" s="4">
        <v>45826</v>
      </c>
      <c r="I1543" t="s">
        <v>1966</v>
      </c>
    </row>
    <row r="1544" spans="1:9" x14ac:dyDescent="0.25">
      <c r="A1544" t="s">
        <v>429</v>
      </c>
      <c r="B1544" t="s">
        <v>304</v>
      </c>
      <c r="C1544" s="3">
        <v>130</v>
      </c>
      <c r="D1544" t="s">
        <v>53</v>
      </c>
      <c r="E1544">
        <v>540005</v>
      </c>
      <c r="F1544" t="s">
        <v>1562</v>
      </c>
      <c r="H1544" s="4">
        <v>45826</v>
      </c>
      <c r="I1544" t="s">
        <v>1966</v>
      </c>
    </row>
    <row r="1545" spans="1:9" x14ac:dyDescent="0.25">
      <c r="A1545" t="s">
        <v>428</v>
      </c>
      <c r="B1545" t="s">
        <v>304</v>
      </c>
      <c r="C1545" s="3">
        <v>65</v>
      </c>
      <c r="D1545" t="s">
        <v>53</v>
      </c>
      <c r="E1545">
        <v>540006</v>
      </c>
      <c r="F1545" t="s">
        <v>1562</v>
      </c>
      <c r="H1545" s="4">
        <v>45826</v>
      </c>
      <c r="I1545" t="s">
        <v>1966</v>
      </c>
    </row>
    <row r="1546" spans="1:9" x14ac:dyDescent="0.25">
      <c r="A1546" t="s">
        <v>427</v>
      </c>
      <c r="B1546" t="s">
        <v>304</v>
      </c>
      <c r="C1546" s="3">
        <v>65</v>
      </c>
      <c r="D1546" t="s">
        <v>53</v>
      </c>
      <c r="E1546">
        <v>540007</v>
      </c>
      <c r="F1546" t="s">
        <v>1562</v>
      </c>
      <c r="H1546" s="4">
        <v>45826</v>
      </c>
      <c r="I1546" t="s">
        <v>1966</v>
      </c>
    </row>
    <row r="1547" spans="1:9" x14ac:dyDescent="0.25">
      <c r="A1547" t="s">
        <v>426</v>
      </c>
      <c r="B1547" t="s">
        <v>304</v>
      </c>
      <c r="C1547" s="3">
        <v>65</v>
      </c>
      <c r="D1547" t="s">
        <v>53</v>
      </c>
      <c r="E1547">
        <v>540008</v>
      </c>
      <c r="F1547" t="s">
        <v>1562</v>
      </c>
      <c r="H1547" s="4">
        <v>45826</v>
      </c>
      <c r="I1547" t="s">
        <v>1966</v>
      </c>
    </row>
    <row r="1548" spans="1:9" x14ac:dyDescent="0.25">
      <c r="A1548" t="s">
        <v>425</v>
      </c>
      <c r="B1548" t="s">
        <v>304</v>
      </c>
      <c r="C1548" s="3">
        <v>65</v>
      </c>
      <c r="D1548" t="s">
        <v>53</v>
      </c>
      <c r="E1548">
        <v>540009</v>
      </c>
      <c r="F1548" t="s">
        <v>1562</v>
      </c>
      <c r="H1548" s="4">
        <v>45826</v>
      </c>
      <c r="I1548" t="s">
        <v>1966</v>
      </c>
    </row>
    <row r="1549" spans="1:9" x14ac:dyDescent="0.25">
      <c r="A1549" t="s">
        <v>54</v>
      </c>
      <c r="B1549" t="s">
        <v>304</v>
      </c>
      <c r="C1549" s="3">
        <v>120</v>
      </c>
      <c r="D1549" t="s">
        <v>53</v>
      </c>
      <c r="E1549">
        <v>540010</v>
      </c>
      <c r="F1549" t="s">
        <v>1562</v>
      </c>
      <c r="H1549" s="4">
        <v>45826</v>
      </c>
      <c r="I1549" t="s">
        <v>1966</v>
      </c>
    </row>
    <row r="1550" spans="1:9" x14ac:dyDescent="0.25">
      <c r="A1550" t="s">
        <v>424</v>
      </c>
      <c r="B1550" t="s">
        <v>304</v>
      </c>
      <c r="C1550" s="3">
        <v>130</v>
      </c>
      <c r="D1550" t="s">
        <v>53</v>
      </c>
      <c r="E1550">
        <v>540011</v>
      </c>
      <c r="F1550" t="s">
        <v>1562</v>
      </c>
      <c r="H1550" s="4">
        <v>45826</v>
      </c>
      <c r="I1550" t="s">
        <v>1966</v>
      </c>
    </row>
    <row r="1551" spans="1:9" x14ac:dyDescent="0.25">
      <c r="A1551" t="s">
        <v>423</v>
      </c>
      <c r="B1551" t="s">
        <v>304</v>
      </c>
      <c r="C1551" s="3">
        <v>130</v>
      </c>
      <c r="D1551" t="s">
        <v>53</v>
      </c>
      <c r="E1551">
        <v>540012</v>
      </c>
      <c r="F1551" t="s">
        <v>1562</v>
      </c>
      <c r="H1551" s="4">
        <v>45826</v>
      </c>
      <c r="I1551" t="s">
        <v>1966</v>
      </c>
    </row>
    <row r="1552" spans="1:9" x14ac:dyDescent="0.25">
      <c r="A1552" t="s">
        <v>422</v>
      </c>
      <c r="B1552" t="s">
        <v>304</v>
      </c>
      <c r="C1552" s="3">
        <v>65</v>
      </c>
      <c r="D1552" t="s">
        <v>53</v>
      </c>
      <c r="E1552">
        <v>540013</v>
      </c>
      <c r="F1552" t="s">
        <v>1562</v>
      </c>
      <c r="H1552" s="4">
        <v>45826</v>
      </c>
      <c r="I1552" t="s">
        <v>1966</v>
      </c>
    </row>
    <row r="1553" spans="1:9" x14ac:dyDescent="0.25">
      <c r="A1553" t="s">
        <v>421</v>
      </c>
      <c r="B1553" t="s">
        <v>304</v>
      </c>
      <c r="C1553" s="3">
        <v>65</v>
      </c>
      <c r="D1553" t="s">
        <v>53</v>
      </c>
      <c r="E1553">
        <v>540014</v>
      </c>
      <c r="F1553" t="s">
        <v>1562</v>
      </c>
      <c r="H1553" s="4">
        <v>45826</v>
      </c>
      <c r="I1553" t="s">
        <v>1966</v>
      </c>
    </row>
    <row r="1554" spans="1:9" x14ac:dyDescent="0.25">
      <c r="A1554" t="s">
        <v>420</v>
      </c>
      <c r="B1554" t="s">
        <v>304</v>
      </c>
      <c r="C1554" s="3">
        <v>130</v>
      </c>
      <c r="D1554" t="s">
        <v>53</v>
      </c>
      <c r="E1554">
        <v>540015</v>
      </c>
      <c r="F1554" t="s">
        <v>1562</v>
      </c>
      <c r="H1554" s="4">
        <v>45826</v>
      </c>
      <c r="I1554" t="s">
        <v>1966</v>
      </c>
    </row>
    <row r="1555" spans="1:9" x14ac:dyDescent="0.25">
      <c r="A1555" t="s">
        <v>419</v>
      </c>
      <c r="B1555" t="s">
        <v>304</v>
      </c>
      <c r="C1555" s="3">
        <v>65</v>
      </c>
      <c r="D1555" t="s">
        <v>53</v>
      </c>
      <c r="E1555">
        <v>540016</v>
      </c>
      <c r="F1555" t="s">
        <v>1562</v>
      </c>
      <c r="H1555" s="4">
        <v>45826</v>
      </c>
      <c r="I1555" t="s">
        <v>1966</v>
      </c>
    </row>
    <row r="1556" spans="1:9" x14ac:dyDescent="0.25">
      <c r="A1556" t="s">
        <v>418</v>
      </c>
      <c r="B1556" t="s">
        <v>304</v>
      </c>
      <c r="C1556" s="3">
        <v>65</v>
      </c>
      <c r="D1556" t="s">
        <v>53</v>
      </c>
      <c r="E1556">
        <v>540017</v>
      </c>
      <c r="F1556" t="s">
        <v>1562</v>
      </c>
      <c r="H1556" s="4">
        <v>45826</v>
      </c>
      <c r="I1556" t="s">
        <v>1966</v>
      </c>
    </row>
    <row r="1557" spans="1:9" x14ac:dyDescent="0.25">
      <c r="A1557" t="s">
        <v>417</v>
      </c>
      <c r="B1557" t="s">
        <v>304</v>
      </c>
      <c r="C1557" s="3">
        <v>130</v>
      </c>
      <c r="D1557" t="s">
        <v>53</v>
      </c>
      <c r="E1557">
        <v>540018</v>
      </c>
      <c r="F1557" t="s">
        <v>1562</v>
      </c>
      <c r="H1557" s="4">
        <v>45826</v>
      </c>
      <c r="I1557" t="s">
        <v>1966</v>
      </c>
    </row>
    <row r="1558" spans="1:9" x14ac:dyDescent="0.25">
      <c r="A1558" t="s">
        <v>416</v>
      </c>
      <c r="B1558" t="s">
        <v>304</v>
      </c>
      <c r="C1558" s="3">
        <v>130</v>
      </c>
      <c r="D1558" t="s">
        <v>53</v>
      </c>
      <c r="E1558">
        <v>540019</v>
      </c>
      <c r="F1558" t="s">
        <v>1562</v>
      </c>
      <c r="H1558" s="4">
        <v>45826</v>
      </c>
      <c r="I1558" t="s">
        <v>1966</v>
      </c>
    </row>
    <row r="1559" spans="1:9" x14ac:dyDescent="0.25">
      <c r="A1559" t="s">
        <v>415</v>
      </c>
      <c r="B1559" t="s">
        <v>304</v>
      </c>
      <c r="C1559" s="3">
        <v>65</v>
      </c>
      <c r="D1559" t="s">
        <v>53</v>
      </c>
      <c r="E1559">
        <v>540020</v>
      </c>
      <c r="F1559" t="s">
        <v>1562</v>
      </c>
      <c r="H1559" s="4">
        <v>45826</v>
      </c>
      <c r="I1559" t="s">
        <v>1966</v>
      </c>
    </row>
    <row r="1560" spans="1:9" x14ac:dyDescent="0.25">
      <c r="A1560" t="s">
        <v>414</v>
      </c>
      <c r="B1560" t="s">
        <v>304</v>
      </c>
      <c r="C1560" s="3">
        <v>65</v>
      </c>
      <c r="D1560" t="s">
        <v>53</v>
      </c>
      <c r="E1560">
        <v>540021</v>
      </c>
      <c r="F1560" t="s">
        <v>1562</v>
      </c>
      <c r="H1560" s="4">
        <v>45826</v>
      </c>
      <c r="I1560" t="s">
        <v>1966</v>
      </c>
    </row>
    <row r="1561" spans="1:9" x14ac:dyDescent="0.25">
      <c r="A1561" t="s">
        <v>413</v>
      </c>
      <c r="B1561" t="s">
        <v>304</v>
      </c>
      <c r="C1561" s="3">
        <v>65</v>
      </c>
      <c r="D1561" t="s">
        <v>53</v>
      </c>
      <c r="E1561">
        <v>540022</v>
      </c>
      <c r="F1561" t="s">
        <v>1562</v>
      </c>
      <c r="H1561" s="4">
        <v>45826</v>
      </c>
      <c r="I1561" t="s">
        <v>1966</v>
      </c>
    </row>
    <row r="1562" spans="1:9" x14ac:dyDescent="0.25">
      <c r="A1562" t="s">
        <v>412</v>
      </c>
      <c r="B1562" t="s">
        <v>304</v>
      </c>
      <c r="C1562" s="3">
        <v>65</v>
      </c>
      <c r="D1562" t="s">
        <v>53</v>
      </c>
      <c r="E1562">
        <v>540023</v>
      </c>
      <c r="F1562" t="s">
        <v>1562</v>
      </c>
      <c r="H1562" s="4">
        <v>45826</v>
      </c>
      <c r="I1562" t="s">
        <v>1966</v>
      </c>
    </row>
    <row r="1563" spans="1:9" x14ac:dyDescent="0.25">
      <c r="A1563" t="s">
        <v>411</v>
      </c>
      <c r="B1563" t="s">
        <v>304</v>
      </c>
      <c r="C1563" s="3">
        <v>130</v>
      </c>
      <c r="D1563" t="s">
        <v>53</v>
      </c>
      <c r="E1563">
        <v>540024</v>
      </c>
      <c r="F1563" t="s">
        <v>1562</v>
      </c>
      <c r="H1563" s="4">
        <v>45826</v>
      </c>
      <c r="I1563" t="s">
        <v>1966</v>
      </c>
    </row>
    <row r="1564" spans="1:9" x14ac:dyDescent="0.25">
      <c r="A1564" t="s">
        <v>410</v>
      </c>
      <c r="B1564" t="s">
        <v>304</v>
      </c>
      <c r="C1564" s="3">
        <v>25</v>
      </c>
      <c r="D1564" t="s">
        <v>53</v>
      </c>
      <c r="E1564">
        <v>540039</v>
      </c>
      <c r="F1564" t="s">
        <v>1562</v>
      </c>
      <c r="H1564" s="4">
        <v>45831</v>
      </c>
      <c r="I1564" t="s">
        <v>1966</v>
      </c>
    </row>
    <row r="1565" spans="1:9" x14ac:dyDescent="0.25">
      <c r="A1565" t="s">
        <v>409</v>
      </c>
      <c r="B1565" t="s">
        <v>304</v>
      </c>
      <c r="C1565" s="3">
        <v>75</v>
      </c>
      <c r="D1565" t="s">
        <v>53</v>
      </c>
      <c r="E1565">
        <v>540040</v>
      </c>
      <c r="F1565" t="s">
        <v>1562</v>
      </c>
      <c r="H1565" s="4">
        <v>45831</v>
      </c>
      <c r="I1565" t="s">
        <v>1966</v>
      </c>
    </row>
    <row r="1566" spans="1:9" x14ac:dyDescent="0.25">
      <c r="A1566" t="s">
        <v>94</v>
      </c>
      <c r="B1566" t="s">
        <v>304</v>
      </c>
      <c r="C1566" s="3">
        <v>300</v>
      </c>
      <c r="D1566" t="s">
        <v>53</v>
      </c>
      <c r="E1566">
        <v>539120</v>
      </c>
      <c r="F1566" t="s">
        <v>1562</v>
      </c>
      <c r="H1566" s="4">
        <v>45831</v>
      </c>
      <c r="I1566" t="s">
        <v>1966</v>
      </c>
    </row>
    <row r="1567" spans="1:9" x14ac:dyDescent="0.25">
      <c r="A1567" t="s">
        <v>408</v>
      </c>
      <c r="B1567" t="s">
        <v>304</v>
      </c>
      <c r="C1567" s="3">
        <v>100</v>
      </c>
      <c r="D1567" t="s">
        <v>53</v>
      </c>
      <c r="E1567">
        <v>540041</v>
      </c>
      <c r="F1567" t="s">
        <v>1562</v>
      </c>
      <c r="H1567" s="4">
        <v>45833</v>
      </c>
      <c r="I1567" t="s">
        <v>1966</v>
      </c>
    </row>
    <row r="1568" spans="1:9" x14ac:dyDescent="0.25">
      <c r="A1568" t="s">
        <v>724</v>
      </c>
      <c r="B1568" t="s">
        <v>304</v>
      </c>
      <c r="C1568" s="3">
        <v>300</v>
      </c>
      <c r="D1568" t="s">
        <v>53</v>
      </c>
      <c r="E1568">
        <v>539231</v>
      </c>
      <c r="F1568" t="s">
        <v>1562</v>
      </c>
      <c r="G1568" t="s">
        <v>1877</v>
      </c>
      <c r="H1568" s="4">
        <v>45833</v>
      </c>
      <c r="I1568" t="s">
        <v>1966</v>
      </c>
    </row>
    <row r="1569" spans="1:9" x14ac:dyDescent="0.25">
      <c r="A1569" t="s">
        <v>54</v>
      </c>
      <c r="B1569" t="s">
        <v>304</v>
      </c>
      <c r="C1569" s="3">
        <v>130</v>
      </c>
      <c r="D1569" t="s">
        <v>53</v>
      </c>
      <c r="E1569">
        <v>539239</v>
      </c>
      <c r="F1569" t="s">
        <v>1562</v>
      </c>
      <c r="H1569" s="4">
        <v>45833</v>
      </c>
      <c r="I1569" t="s">
        <v>1966</v>
      </c>
    </row>
    <row r="1570" spans="1:9" x14ac:dyDescent="0.25">
      <c r="A1570" t="s">
        <v>750</v>
      </c>
      <c r="B1570" t="s">
        <v>304</v>
      </c>
      <c r="C1570" s="3">
        <v>300</v>
      </c>
      <c r="D1570" t="s">
        <v>53</v>
      </c>
      <c r="E1570">
        <v>539346</v>
      </c>
      <c r="F1570" t="s">
        <v>1562</v>
      </c>
      <c r="H1570" s="4">
        <v>45838</v>
      </c>
      <c r="I1570" t="s">
        <v>1966</v>
      </c>
    </row>
    <row r="1571" spans="1:9" x14ac:dyDescent="0.25">
      <c r="A1571" t="s">
        <v>100</v>
      </c>
      <c r="B1571" t="s">
        <v>304</v>
      </c>
      <c r="C1571" s="3">
        <v>300</v>
      </c>
      <c r="D1571" t="s">
        <v>53</v>
      </c>
      <c r="E1571">
        <v>539555</v>
      </c>
      <c r="F1571" t="s">
        <v>1562</v>
      </c>
      <c r="H1571" s="4">
        <v>45841</v>
      </c>
      <c r="I1571" t="s">
        <v>1966</v>
      </c>
    </row>
    <row r="1572" spans="1:9" x14ac:dyDescent="0.25">
      <c r="A1572" t="s">
        <v>491</v>
      </c>
      <c r="B1572" t="s">
        <v>304</v>
      </c>
      <c r="C1572" s="3">
        <v>2000</v>
      </c>
      <c r="D1572" t="s">
        <v>53</v>
      </c>
      <c r="E1572">
        <v>539793</v>
      </c>
      <c r="F1572" t="s">
        <v>1562</v>
      </c>
      <c r="G1572" t="s">
        <v>1581</v>
      </c>
      <c r="H1572" s="4">
        <v>45847</v>
      </c>
      <c r="I1572" t="s">
        <v>1966</v>
      </c>
    </row>
    <row r="1573" spans="1:9" x14ac:dyDescent="0.25">
      <c r="A1573" t="s">
        <v>558</v>
      </c>
      <c r="B1573" t="s">
        <v>304</v>
      </c>
      <c r="C1573" s="3">
        <v>300</v>
      </c>
      <c r="D1573" t="s">
        <v>53</v>
      </c>
      <c r="E1573">
        <v>539678</v>
      </c>
      <c r="F1573" t="s">
        <v>1562</v>
      </c>
      <c r="G1573" t="s">
        <v>1878</v>
      </c>
      <c r="H1573" s="4">
        <v>45852</v>
      </c>
      <c r="I1573" t="s">
        <v>1966</v>
      </c>
    </row>
    <row r="1574" spans="1:9" x14ac:dyDescent="0.25">
      <c r="A1574" t="s">
        <v>436</v>
      </c>
      <c r="B1574" t="s">
        <v>304</v>
      </c>
      <c r="C1574" s="3">
        <v>2000</v>
      </c>
      <c r="D1574" t="s">
        <v>53</v>
      </c>
      <c r="E1574">
        <v>540229</v>
      </c>
      <c r="F1574" t="s">
        <v>1562</v>
      </c>
      <c r="G1574" t="s">
        <v>1879</v>
      </c>
      <c r="H1574" s="4">
        <v>45863</v>
      </c>
      <c r="I1574" t="s">
        <v>1966</v>
      </c>
    </row>
    <row r="1575" spans="1:9" x14ac:dyDescent="0.25">
      <c r="A1575" t="s">
        <v>345</v>
      </c>
      <c r="B1575" t="s">
        <v>304</v>
      </c>
      <c r="C1575" s="3">
        <v>300</v>
      </c>
      <c r="D1575" t="s">
        <v>53</v>
      </c>
      <c r="E1575">
        <v>541836</v>
      </c>
      <c r="F1575" t="s">
        <v>1562</v>
      </c>
      <c r="H1575" s="4">
        <v>45897</v>
      </c>
      <c r="I1575" t="s">
        <v>1966</v>
      </c>
    </row>
    <row r="1576" spans="1:9" x14ac:dyDescent="0.25">
      <c r="A1576" t="s">
        <v>346</v>
      </c>
      <c r="B1576" t="s">
        <v>304</v>
      </c>
      <c r="C1576" s="3">
        <v>10000</v>
      </c>
      <c r="D1576" t="s">
        <v>53</v>
      </c>
      <c r="E1576">
        <v>542188</v>
      </c>
      <c r="F1576" t="s">
        <v>1562</v>
      </c>
      <c r="G1576" t="s">
        <v>1631</v>
      </c>
      <c r="H1576" s="4">
        <v>45908</v>
      </c>
      <c r="I1576" t="s">
        <v>1966</v>
      </c>
    </row>
    <row r="1577" spans="1:9" x14ac:dyDescent="0.25">
      <c r="A1577" t="s">
        <v>94</v>
      </c>
      <c r="B1577" t="s">
        <v>303</v>
      </c>
      <c r="C1577" s="3">
        <v>300</v>
      </c>
      <c r="D1577" t="s">
        <v>53</v>
      </c>
      <c r="E1577">
        <v>544457</v>
      </c>
      <c r="F1577" t="s">
        <v>1562</v>
      </c>
      <c r="G1577" t="s">
        <v>1685</v>
      </c>
      <c r="H1577" s="4">
        <v>45972</v>
      </c>
      <c r="I1577" t="s">
        <v>1966</v>
      </c>
    </row>
    <row r="1578" spans="1:9" x14ac:dyDescent="0.25">
      <c r="A1578" t="s">
        <v>262</v>
      </c>
      <c r="B1578" t="s">
        <v>303</v>
      </c>
      <c r="C1578" s="3">
        <v>1500</v>
      </c>
      <c r="D1578" t="s">
        <v>53</v>
      </c>
      <c r="E1578">
        <v>547137</v>
      </c>
      <c r="F1578" t="s">
        <v>1562</v>
      </c>
      <c r="H1578" s="4">
        <v>46036</v>
      </c>
      <c r="I1578" t="s">
        <v>1966</v>
      </c>
    </row>
    <row r="1579" spans="1:9" x14ac:dyDescent="0.25">
      <c r="A1579" t="s">
        <v>2037</v>
      </c>
      <c r="B1579" t="s">
        <v>303</v>
      </c>
      <c r="C1579" s="3">
        <v>500</v>
      </c>
      <c r="D1579" t="s">
        <v>53</v>
      </c>
      <c r="E1579">
        <v>549510</v>
      </c>
      <c r="F1579" t="s">
        <v>1562</v>
      </c>
      <c r="H1579" s="4">
        <v>46100</v>
      </c>
      <c r="I1579" t="s">
        <v>1966</v>
      </c>
    </row>
    <row r="1580" spans="1:9" x14ac:dyDescent="0.25">
      <c r="A1580" t="s">
        <v>294</v>
      </c>
      <c r="B1580" t="s">
        <v>293</v>
      </c>
      <c r="C1580" s="3">
        <v>25</v>
      </c>
      <c r="D1580" t="s">
        <v>2</v>
      </c>
      <c r="E1580">
        <v>548896</v>
      </c>
      <c r="F1580" t="s">
        <v>1562</v>
      </c>
      <c r="H1580" s="4">
        <v>46074</v>
      </c>
      <c r="I1580" t="s">
        <v>1965</v>
      </c>
    </row>
    <row r="1581" spans="1:9" x14ac:dyDescent="0.25">
      <c r="A1581" t="s">
        <v>301</v>
      </c>
      <c r="B1581" t="s">
        <v>293</v>
      </c>
      <c r="C1581" s="3">
        <v>25</v>
      </c>
      <c r="D1581" t="s">
        <v>2</v>
      </c>
      <c r="E1581">
        <v>548901</v>
      </c>
      <c r="F1581" t="s">
        <v>1562</v>
      </c>
      <c r="H1581" s="4">
        <v>46074</v>
      </c>
      <c r="I1581" t="s">
        <v>1965</v>
      </c>
    </row>
    <row r="1582" spans="1:9" x14ac:dyDescent="0.25">
      <c r="A1582" t="s">
        <v>300</v>
      </c>
      <c r="B1582" t="s">
        <v>293</v>
      </c>
      <c r="C1582" s="3">
        <v>25</v>
      </c>
      <c r="D1582" t="s">
        <v>2</v>
      </c>
      <c r="E1582">
        <v>548902</v>
      </c>
      <c r="F1582" t="s">
        <v>1562</v>
      </c>
      <c r="G1582" t="s">
        <v>1632</v>
      </c>
      <c r="H1582" s="4">
        <v>46074</v>
      </c>
      <c r="I1582" t="s">
        <v>1965</v>
      </c>
    </row>
    <row r="1583" spans="1:9" x14ac:dyDescent="0.25">
      <c r="A1583" t="s">
        <v>299</v>
      </c>
      <c r="B1583" t="s">
        <v>293</v>
      </c>
      <c r="C1583" s="3">
        <v>690</v>
      </c>
      <c r="D1583" t="s">
        <v>2</v>
      </c>
      <c r="E1583">
        <v>549114</v>
      </c>
      <c r="F1583" t="s">
        <v>1562</v>
      </c>
      <c r="G1583" t="s">
        <v>1880</v>
      </c>
      <c r="H1583" s="4">
        <v>46074</v>
      </c>
      <c r="I1583" t="s">
        <v>1965</v>
      </c>
    </row>
    <row r="1584" spans="1:9" x14ac:dyDescent="0.25">
      <c r="A1584" t="s">
        <v>302</v>
      </c>
      <c r="B1584" t="s">
        <v>293</v>
      </c>
      <c r="C1584" s="3">
        <v>30</v>
      </c>
      <c r="D1584" t="s">
        <v>2</v>
      </c>
      <c r="E1584">
        <v>548911</v>
      </c>
      <c r="F1584" t="s">
        <v>1562</v>
      </c>
      <c r="H1584" s="4">
        <v>46074</v>
      </c>
      <c r="I1584" t="s">
        <v>1965</v>
      </c>
    </row>
    <row r="1585" spans="1:9" x14ac:dyDescent="0.25">
      <c r="A1585" t="s">
        <v>299</v>
      </c>
      <c r="B1585" t="s">
        <v>293</v>
      </c>
      <c r="C1585" s="3">
        <v>26.31</v>
      </c>
      <c r="D1585" t="s">
        <v>2</v>
      </c>
      <c r="E1585">
        <v>548921</v>
      </c>
      <c r="F1585" t="s">
        <v>1562</v>
      </c>
      <c r="G1585" t="s">
        <v>1881</v>
      </c>
      <c r="H1585" s="4">
        <v>46076</v>
      </c>
      <c r="I1585" t="s">
        <v>1965</v>
      </c>
    </row>
    <row r="1586" spans="1:9" x14ac:dyDescent="0.25">
      <c r="A1586" t="s">
        <v>299</v>
      </c>
      <c r="B1586" t="s">
        <v>293</v>
      </c>
      <c r="C1586" s="3">
        <v>792.25</v>
      </c>
      <c r="D1586" t="s">
        <v>2</v>
      </c>
      <c r="E1586">
        <v>548404</v>
      </c>
      <c r="F1586" t="s">
        <v>1562</v>
      </c>
      <c r="H1586" s="4">
        <v>46076</v>
      </c>
      <c r="I1586" t="s">
        <v>1965</v>
      </c>
    </row>
    <row r="1587" spans="1:9" x14ac:dyDescent="0.25">
      <c r="A1587" t="s">
        <v>298</v>
      </c>
      <c r="B1587" t="s">
        <v>293</v>
      </c>
      <c r="C1587" s="3">
        <v>50</v>
      </c>
      <c r="D1587" t="s">
        <v>2</v>
      </c>
      <c r="E1587">
        <v>548874</v>
      </c>
      <c r="F1587" t="s">
        <v>1562</v>
      </c>
      <c r="H1587" s="4">
        <v>46076</v>
      </c>
      <c r="I1587" t="s">
        <v>1965</v>
      </c>
    </row>
    <row r="1588" spans="1:9" x14ac:dyDescent="0.25">
      <c r="A1588" t="s">
        <v>297</v>
      </c>
      <c r="B1588" t="s">
        <v>293</v>
      </c>
      <c r="C1588" s="3">
        <v>20</v>
      </c>
      <c r="D1588" t="s">
        <v>2</v>
      </c>
      <c r="E1588">
        <v>548875</v>
      </c>
      <c r="F1588" t="s">
        <v>1562</v>
      </c>
      <c r="H1588" s="4">
        <v>46076</v>
      </c>
      <c r="I1588" t="s">
        <v>1965</v>
      </c>
    </row>
    <row r="1589" spans="1:9" x14ac:dyDescent="0.25">
      <c r="A1589" t="s">
        <v>296</v>
      </c>
      <c r="B1589" t="s">
        <v>293</v>
      </c>
      <c r="C1589" s="3">
        <v>50</v>
      </c>
      <c r="D1589" t="s">
        <v>2</v>
      </c>
      <c r="E1589">
        <v>548876</v>
      </c>
      <c r="F1589" t="s">
        <v>1562</v>
      </c>
      <c r="H1589" s="4">
        <v>46076</v>
      </c>
      <c r="I1589" t="s">
        <v>1965</v>
      </c>
    </row>
    <row r="1590" spans="1:9" x14ac:dyDescent="0.25">
      <c r="A1590" t="s">
        <v>295</v>
      </c>
      <c r="B1590" t="s">
        <v>293</v>
      </c>
      <c r="C1590" s="3">
        <v>50</v>
      </c>
      <c r="D1590" t="s">
        <v>2</v>
      </c>
      <c r="E1590">
        <v>548877</v>
      </c>
      <c r="F1590" t="s">
        <v>1562</v>
      </c>
      <c r="H1590" s="4">
        <v>46076</v>
      </c>
      <c r="I1590" t="s">
        <v>1965</v>
      </c>
    </row>
    <row r="1591" spans="1:9" x14ac:dyDescent="0.25">
      <c r="A1591" t="s">
        <v>292</v>
      </c>
      <c r="B1591" t="s">
        <v>291</v>
      </c>
      <c r="C1591" s="3">
        <v>20500</v>
      </c>
      <c r="D1591" t="s">
        <v>2</v>
      </c>
      <c r="E1591">
        <v>537277</v>
      </c>
      <c r="F1591" t="s">
        <v>1562</v>
      </c>
      <c r="H1591" s="4">
        <v>45798</v>
      </c>
      <c r="I1591" t="s">
        <v>1965</v>
      </c>
    </row>
    <row r="1592" spans="1:9" x14ac:dyDescent="0.25">
      <c r="A1592" t="s">
        <v>285</v>
      </c>
      <c r="B1592" t="s">
        <v>290</v>
      </c>
      <c r="C1592" s="3">
        <v>1000</v>
      </c>
      <c r="D1592" t="s">
        <v>18</v>
      </c>
      <c r="E1592">
        <v>548005</v>
      </c>
      <c r="F1592" t="s">
        <v>1564</v>
      </c>
      <c r="G1592" t="s">
        <v>1686</v>
      </c>
      <c r="H1592" s="4">
        <v>46014</v>
      </c>
      <c r="I1592" t="s">
        <v>1966</v>
      </c>
    </row>
    <row r="1593" spans="1:9" x14ac:dyDescent="0.25">
      <c r="A1593" t="s">
        <v>289</v>
      </c>
      <c r="B1593" t="s">
        <v>288</v>
      </c>
      <c r="C1593" s="3">
        <v>100</v>
      </c>
      <c r="D1593" t="s">
        <v>9</v>
      </c>
      <c r="E1593">
        <v>541338</v>
      </c>
      <c r="F1593" t="s">
        <v>1562</v>
      </c>
      <c r="G1593" t="s">
        <v>1882</v>
      </c>
      <c r="H1593" s="4">
        <v>45891</v>
      </c>
      <c r="I1593" t="s">
        <v>1966</v>
      </c>
    </row>
    <row r="1594" spans="1:9" x14ac:dyDescent="0.25">
      <c r="A1594" t="s">
        <v>267</v>
      </c>
      <c r="B1594" t="s">
        <v>260</v>
      </c>
      <c r="C1594" s="3">
        <v>1000</v>
      </c>
      <c r="D1594" t="s">
        <v>9</v>
      </c>
      <c r="E1594">
        <v>546923</v>
      </c>
      <c r="F1594" t="s">
        <v>1562</v>
      </c>
      <c r="H1594" s="4">
        <v>46024</v>
      </c>
      <c r="I1594" t="s">
        <v>1966</v>
      </c>
    </row>
    <row r="1595" spans="1:9" x14ac:dyDescent="0.25">
      <c r="A1595" t="s">
        <v>266</v>
      </c>
      <c r="B1595" t="s">
        <v>260</v>
      </c>
      <c r="C1595" s="3">
        <v>1000</v>
      </c>
      <c r="D1595" t="s">
        <v>9</v>
      </c>
      <c r="E1595">
        <v>546924</v>
      </c>
      <c r="F1595" t="s">
        <v>1562</v>
      </c>
      <c r="H1595" s="4">
        <v>46024</v>
      </c>
      <c r="I1595" t="s">
        <v>1966</v>
      </c>
    </row>
    <row r="1596" spans="1:9" x14ac:dyDescent="0.25">
      <c r="A1596" t="s">
        <v>265</v>
      </c>
      <c r="B1596" t="s">
        <v>260</v>
      </c>
      <c r="C1596" s="3">
        <v>500</v>
      </c>
      <c r="D1596" t="s">
        <v>9</v>
      </c>
      <c r="E1596">
        <v>547097</v>
      </c>
      <c r="F1596" t="s">
        <v>1562</v>
      </c>
      <c r="H1596" s="4">
        <v>46030</v>
      </c>
      <c r="I1596" t="s">
        <v>1966</v>
      </c>
    </row>
    <row r="1597" spans="1:9" x14ac:dyDescent="0.25">
      <c r="A1597" t="s">
        <v>261</v>
      </c>
      <c r="B1597" t="s">
        <v>260</v>
      </c>
      <c r="C1597" s="3">
        <v>3500</v>
      </c>
      <c r="D1597" t="s">
        <v>9</v>
      </c>
      <c r="E1597">
        <v>547142</v>
      </c>
      <c r="F1597" t="s">
        <v>1562</v>
      </c>
      <c r="G1597" t="s">
        <v>1883</v>
      </c>
      <c r="H1597" s="4">
        <v>46030</v>
      </c>
      <c r="I1597" t="s">
        <v>1966</v>
      </c>
    </row>
    <row r="1598" spans="1:9" x14ac:dyDescent="0.25">
      <c r="A1598" t="s">
        <v>263</v>
      </c>
      <c r="B1598" t="s">
        <v>260</v>
      </c>
      <c r="C1598" s="3">
        <v>2500</v>
      </c>
      <c r="D1598" t="s">
        <v>9</v>
      </c>
      <c r="E1598">
        <v>547212</v>
      </c>
      <c r="F1598" t="s">
        <v>1562</v>
      </c>
      <c r="H1598" s="4">
        <v>46035</v>
      </c>
      <c r="I1598" t="s">
        <v>1966</v>
      </c>
    </row>
    <row r="1599" spans="1:9" x14ac:dyDescent="0.25">
      <c r="A1599" t="s">
        <v>262</v>
      </c>
      <c r="B1599" t="s">
        <v>260</v>
      </c>
      <c r="C1599" s="3">
        <v>2000</v>
      </c>
      <c r="D1599" t="s">
        <v>9</v>
      </c>
      <c r="E1599">
        <v>547136</v>
      </c>
      <c r="F1599" t="s">
        <v>1562</v>
      </c>
      <c r="H1599" s="4">
        <v>46036</v>
      </c>
      <c r="I1599" t="s">
        <v>1966</v>
      </c>
    </row>
    <row r="1600" spans="1:9" x14ac:dyDescent="0.25">
      <c r="A1600" t="s">
        <v>272</v>
      </c>
      <c r="B1600" t="s">
        <v>260</v>
      </c>
      <c r="C1600" s="3">
        <v>2000</v>
      </c>
      <c r="D1600" t="s">
        <v>9</v>
      </c>
      <c r="E1600">
        <v>547957</v>
      </c>
      <c r="F1600" t="s">
        <v>1562</v>
      </c>
      <c r="H1600" s="4">
        <v>46049</v>
      </c>
      <c r="I1600" t="s">
        <v>1966</v>
      </c>
    </row>
    <row r="1601" spans="1:9" x14ac:dyDescent="0.25">
      <c r="A1601" t="s">
        <v>24</v>
      </c>
      <c r="B1601" t="s">
        <v>260</v>
      </c>
      <c r="C1601" s="3">
        <v>500</v>
      </c>
      <c r="D1601" t="s">
        <v>9</v>
      </c>
      <c r="E1601">
        <v>547958</v>
      </c>
      <c r="F1601" t="s">
        <v>1562</v>
      </c>
      <c r="H1601" s="4">
        <v>46049</v>
      </c>
      <c r="I1601" t="s">
        <v>1966</v>
      </c>
    </row>
    <row r="1602" spans="1:9" x14ac:dyDescent="0.25">
      <c r="A1602" t="s">
        <v>277</v>
      </c>
      <c r="B1602" t="s">
        <v>260</v>
      </c>
      <c r="C1602" s="3">
        <v>500</v>
      </c>
      <c r="D1602" t="s">
        <v>9</v>
      </c>
      <c r="E1602">
        <v>547959</v>
      </c>
      <c r="F1602" t="s">
        <v>1562</v>
      </c>
      <c r="H1602" s="4">
        <v>46049</v>
      </c>
      <c r="I1602" t="s">
        <v>1966</v>
      </c>
    </row>
    <row r="1603" spans="1:9" x14ac:dyDescent="0.25">
      <c r="A1603" t="s">
        <v>287</v>
      </c>
      <c r="B1603" t="s">
        <v>260</v>
      </c>
      <c r="C1603" s="3">
        <v>1500</v>
      </c>
      <c r="D1603" t="s">
        <v>9</v>
      </c>
      <c r="E1603">
        <v>547960</v>
      </c>
      <c r="F1603" t="s">
        <v>1562</v>
      </c>
      <c r="H1603" s="4">
        <v>46050</v>
      </c>
      <c r="I1603" t="s">
        <v>1966</v>
      </c>
    </row>
    <row r="1604" spans="1:9" x14ac:dyDescent="0.25">
      <c r="A1604" t="s">
        <v>286</v>
      </c>
      <c r="B1604" t="s">
        <v>260</v>
      </c>
      <c r="C1604" s="3">
        <v>500</v>
      </c>
      <c r="D1604" t="s">
        <v>9</v>
      </c>
      <c r="E1604">
        <v>547961</v>
      </c>
      <c r="F1604" t="s">
        <v>1562</v>
      </c>
      <c r="H1604" s="4">
        <v>46051</v>
      </c>
      <c r="I1604" t="s">
        <v>1966</v>
      </c>
    </row>
    <row r="1605" spans="1:9" x14ac:dyDescent="0.25">
      <c r="A1605" t="s">
        <v>264</v>
      </c>
      <c r="B1605" t="s">
        <v>260</v>
      </c>
      <c r="C1605" s="3">
        <v>2000</v>
      </c>
      <c r="D1605" t="s">
        <v>9</v>
      </c>
      <c r="E1605">
        <v>547717</v>
      </c>
      <c r="F1605" t="s">
        <v>1562</v>
      </c>
      <c r="H1605" s="4">
        <v>46051</v>
      </c>
      <c r="I1605" t="s">
        <v>1966</v>
      </c>
    </row>
    <row r="1606" spans="1:9" x14ac:dyDescent="0.25">
      <c r="A1606" t="s">
        <v>285</v>
      </c>
      <c r="B1606" t="s">
        <v>260</v>
      </c>
      <c r="C1606" s="3">
        <v>1500</v>
      </c>
      <c r="D1606" t="s">
        <v>9</v>
      </c>
      <c r="E1606">
        <v>547990</v>
      </c>
      <c r="F1606" t="s">
        <v>1562</v>
      </c>
      <c r="H1606" s="4">
        <v>46052</v>
      </c>
      <c r="I1606" t="s">
        <v>1966</v>
      </c>
    </row>
    <row r="1607" spans="1:9" x14ac:dyDescent="0.25">
      <c r="A1607" t="s">
        <v>268</v>
      </c>
      <c r="B1607" t="s">
        <v>260</v>
      </c>
      <c r="C1607" s="3">
        <v>2000</v>
      </c>
      <c r="D1607" t="s">
        <v>18</v>
      </c>
      <c r="E1607">
        <v>548295</v>
      </c>
      <c r="F1607" t="s">
        <v>1562</v>
      </c>
      <c r="H1607" s="4">
        <v>46063</v>
      </c>
      <c r="I1607" t="s">
        <v>1966</v>
      </c>
    </row>
    <row r="1608" spans="1:9" x14ac:dyDescent="0.25">
      <c r="A1608" t="s">
        <v>276</v>
      </c>
      <c r="B1608" t="s">
        <v>260</v>
      </c>
      <c r="C1608" s="3">
        <v>5000</v>
      </c>
      <c r="D1608" t="s">
        <v>259</v>
      </c>
      <c r="E1608">
        <v>548347</v>
      </c>
      <c r="F1608" t="s">
        <v>1562</v>
      </c>
      <c r="H1608" s="4">
        <v>46063</v>
      </c>
      <c r="I1608" t="s">
        <v>1966</v>
      </c>
    </row>
    <row r="1609" spans="1:9" x14ac:dyDescent="0.25">
      <c r="A1609" t="s">
        <v>279</v>
      </c>
      <c r="B1609" t="s">
        <v>260</v>
      </c>
      <c r="C1609" s="3">
        <v>560</v>
      </c>
      <c r="D1609" t="s">
        <v>9</v>
      </c>
      <c r="E1609">
        <v>548377</v>
      </c>
      <c r="F1609" t="s">
        <v>1563</v>
      </c>
      <c r="G1609" t="s">
        <v>1884</v>
      </c>
      <c r="H1609" s="4">
        <v>46072</v>
      </c>
      <c r="I1609" t="s">
        <v>1966</v>
      </c>
    </row>
    <row r="1610" spans="1:9" x14ac:dyDescent="0.25">
      <c r="A1610" t="s">
        <v>278</v>
      </c>
      <c r="B1610" t="s">
        <v>260</v>
      </c>
      <c r="C1610" s="3">
        <v>1000</v>
      </c>
      <c r="D1610" t="s">
        <v>9</v>
      </c>
      <c r="E1610">
        <v>548378</v>
      </c>
      <c r="F1610" t="s">
        <v>1563</v>
      </c>
      <c r="G1610" t="s">
        <v>1885</v>
      </c>
      <c r="H1610" s="4">
        <v>46072</v>
      </c>
      <c r="I1610" t="s">
        <v>1966</v>
      </c>
    </row>
    <row r="1611" spans="1:9" x14ac:dyDescent="0.25">
      <c r="A1611" t="s">
        <v>126</v>
      </c>
      <c r="B1611" t="s">
        <v>260</v>
      </c>
      <c r="C1611" s="3">
        <v>355</v>
      </c>
      <c r="D1611" t="s">
        <v>9</v>
      </c>
      <c r="E1611">
        <v>548379</v>
      </c>
      <c r="F1611" t="s">
        <v>1563</v>
      </c>
      <c r="G1611" t="s">
        <v>1886</v>
      </c>
      <c r="H1611" s="4">
        <v>46072</v>
      </c>
      <c r="I1611" t="s">
        <v>1966</v>
      </c>
    </row>
    <row r="1612" spans="1:9" x14ac:dyDescent="0.25">
      <c r="A1612" t="s">
        <v>277</v>
      </c>
      <c r="B1612" t="s">
        <v>260</v>
      </c>
      <c r="C1612" s="3">
        <v>315</v>
      </c>
      <c r="D1612" t="s">
        <v>9</v>
      </c>
      <c r="E1612">
        <v>548380</v>
      </c>
      <c r="F1612" t="s">
        <v>1563</v>
      </c>
      <c r="G1612" t="s">
        <v>1887</v>
      </c>
      <c r="H1612" s="4">
        <v>46072</v>
      </c>
      <c r="I1612" t="s">
        <v>1966</v>
      </c>
    </row>
    <row r="1613" spans="1:9" x14ac:dyDescent="0.25">
      <c r="A1613" t="s">
        <v>280</v>
      </c>
      <c r="B1613" t="s">
        <v>260</v>
      </c>
      <c r="C1613" s="3">
        <v>500</v>
      </c>
      <c r="D1613" t="s">
        <v>9</v>
      </c>
      <c r="E1613">
        <v>548391</v>
      </c>
      <c r="F1613" t="s">
        <v>1562</v>
      </c>
      <c r="G1613" t="s">
        <v>1888</v>
      </c>
      <c r="H1613" s="4">
        <v>46073</v>
      </c>
      <c r="I1613" t="s">
        <v>1966</v>
      </c>
    </row>
    <row r="1614" spans="1:9" x14ac:dyDescent="0.25">
      <c r="A1614" t="s">
        <v>283</v>
      </c>
      <c r="B1614" t="s">
        <v>260</v>
      </c>
      <c r="C1614" s="3">
        <v>500</v>
      </c>
      <c r="D1614" t="s">
        <v>9</v>
      </c>
      <c r="E1614">
        <v>548432</v>
      </c>
      <c r="F1614" t="s">
        <v>1562</v>
      </c>
      <c r="H1614" s="4">
        <v>46073</v>
      </c>
      <c r="I1614" t="s">
        <v>1966</v>
      </c>
    </row>
    <row r="1615" spans="1:9" x14ac:dyDescent="0.25">
      <c r="A1615" t="s">
        <v>274</v>
      </c>
      <c r="B1615" t="s">
        <v>260</v>
      </c>
      <c r="C1615" s="3">
        <v>4400</v>
      </c>
      <c r="D1615" t="s">
        <v>9</v>
      </c>
      <c r="E1615">
        <v>548427</v>
      </c>
      <c r="F1615" t="s">
        <v>1562</v>
      </c>
      <c r="G1615" t="s">
        <v>1889</v>
      </c>
      <c r="H1615" s="4">
        <v>46075</v>
      </c>
      <c r="I1615" t="s">
        <v>1966</v>
      </c>
    </row>
    <row r="1616" spans="1:9" x14ac:dyDescent="0.25">
      <c r="A1616" t="s">
        <v>14</v>
      </c>
      <c r="B1616" t="s">
        <v>260</v>
      </c>
      <c r="C1616" s="3">
        <v>1300</v>
      </c>
      <c r="D1616" t="s">
        <v>9</v>
      </c>
      <c r="E1616">
        <v>548405</v>
      </c>
      <c r="F1616" t="s">
        <v>1562</v>
      </c>
      <c r="H1616" s="4">
        <v>46076</v>
      </c>
      <c r="I1616" t="s">
        <v>1966</v>
      </c>
    </row>
    <row r="1617" spans="1:9" x14ac:dyDescent="0.25">
      <c r="A1617" t="s">
        <v>126</v>
      </c>
      <c r="B1617" t="s">
        <v>260</v>
      </c>
      <c r="C1617" s="3">
        <v>1000</v>
      </c>
      <c r="D1617" t="s">
        <v>9</v>
      </c>
      <c r="E1617">
        <v>548411</v>
      </c>
      <c r="F1617" t="s">
        <v>1562</v>
      </c>
      <c r="H1617" s="4">
        <v>46076</v>
      </c>
      <c r="I1617" t="s">
        <v>1966</v>
      </c>
    </row>
    <row r="1618" spans="1:9" x14ac:dyDescent="0.25">
      <c r="A1618" t="s">
        <v>275</v>
      </c>
      <c r="B1618" t="s">
        <v>260</v>
      </c>
      <c r="C1618" s="3">
        <v>250</v>
      </c>
      <c r="D1618" t="s">
        <v>9</v>
      </c>
      <c r="E1618">
        <v>548412</v>
      </c>
      <c r="F1618" t="s">
        <v>1562</v>
      </c>
      <c r="H1618" s="4">
        <v>46076</v>
      </c>
      <c r="I1618" t="s">
        <v>1966</v>
      </c>
    </row>
    <row r="1619" spans="1:9" x14ac:dyDescent="0.25">
      <c r="A1619" t="s">
        <v>270</v>
      </c>
      <c r="B1619" t="s">
        <v>260</v>
      </c>
      <c r="C1619" s="3">
        <v>1000</v>
      </c>
      <c r="D1619" t="s">
        <v>9</v>
      </c>
      <c r="E1619">
        <v>548415</v>
      </c>
      <c r="F1619" t="s">
        <v>1562</v>
      </c>
      <c r="H1619" s="4">
        <v>46076</v>
      </c>
      <c r="I1619" t="s">
        <v>1966</v>
      </c>
    </row>
    <row r="1620" spans="1:9" x14ac:dyDescent="0.25">
      <c r="A1620" t="s">
        <v>270</v>
      </c>
      <c r="B1620" t="s">
        <v>260</v>
      </c>
      <c r="C1620" s="3">
        <v>500</v>
      </c>
      <c r="D1620" t="s">
        <v>9</v>
      </c>
      <c r="E1620">
        <v>548452</v>
      </c>
      <c r="F1620" t="s">
        <v>1562</v>
      </c>
      <c r="H1620" s="4">
        <v>46077</v>
      </c>
      <c r="I1620" t="s">
        <v>1966</v>
      </c>
    </row>
    <row r="1621" spans="1:9" x14ac:dyDescent="0.25">
      <c r="A1621" t="s">
        <v>281</v>
      </c>
      <c r="B1621" t="s">
        <v>260</v>
      </c>
      <c r="C1621" s="3">
        <v>500</v>
      </c>
      <c r="D1621" t="s">
        <v>9</v>
      </c>
      <c r="E1621">
        <v>548453</v>
      </c>
      <c r="F1621" t="s">
        <v>1562</v>
      </c>
      <c r="H1621" s="4">
        <v>46077</v>
      </c>
      <c r="I1621" t="s">
        <v>1966</v>
      </c>
    </row>
    <row r="1622" spans="1:9" x14ac:dyDescent="0.25">
      <c r="A1622" t="s">
        <v>180</v>
      </c>
      <c r="B1622" t="s">
        <v>260</v>
      </c>
      <c r="C1622" s="3">
        <v>500</v>
      </c>
      <c r="D1622" t="s">
        <v>9</v>
      </c>
      <c r="E1622">
        <v>548454</v>
      </c>
      <c r="F1622" t="s">
        <v>1562</v>
      </c>
      <c r="H1622" s="4">
        <v>46077</v>
      </c>
      <c r="I1622" t="s">
        <v>1966</v>
      </c>
    </row>
    <row r="1623" spans="1:9" x14ac:dyDescent="0.25">
      <c r="A1623" t="s">
        <v>35</v>
      </c>
      <c r="B1623" t="s">
        <v>260</v>
      </c>
      <c r="C1623" s="3">
        <v>500</v>
      </c>
      <c r="D1623" t="s">
        <v>9</v>
      </c>
      <c r="E1623">
        <v>548455</v>
      </c>
      <c r="F1623" t="s">
        <v>1562</v>
      </c>
      <c r="H1623" s="4">
        <v>46077</v>
      </c>
      <c r="I1623" t="s">
        <v>1966</v>
      </c>
    </row>
    <row r="1624" spans="1:9" x14ac:dyDescent="0.25">
      <c r="A1624" t="s">
        <v>279</v>
      </c>
      <c r="B1624" t="s">
        <v>260</v>
      </c>
      <c r="C1624" s="3">
        <v>15000</v>
      </c>
      <c r="D1624" t="s">
        <v>9</v>
      </c>
      <c r="E1624">
        <v>548457</v>
      </c>
      <c r="F1624" t="s">
        <v>1562</v>
      </c>
      <c r="H1624" s="4">
        <v>46077</v>
      </c>
      <c r="I1624" t="s">
        <v>1966</v>
      </c>
    </row>
    <row r="1625" spans="1:9" x14ac:dyDescent="0.25">
      <c r="A1625" t="s">
        <v>282</v>
      </c>
      <c r="B1625" t="s">
        <v>260</v>
      </c>
      <c r="C1625" s="3">
        <v>100</v>
      </c>
      <c r="D1625" t="s">
        <v>9</v>
      </c>
      <c r="E1625">
        <v>548460</v>
      </c>
      <c r="F1625" t="s">
        <v>1562</v>
      </c>
      <c r="H1625" s="4">
        <v>46077</v>
      </c>
      <c r="I1625" t="s">
        <v>1966</v>
      </c>
    </row>
    <row r="1626" spans="1:9" x14ac:dyDescent="0.25">
      <c r="A1626" t="s">
        <v>284</v>
      </c>
      <c r="B1626" t="s">
        <v>260</v>
      </c>
      <c r="C1626" s="3">
        <v>7500</v>
      </c>
      <c r="D1626" t="s">
        <v>9</v>
      </c>
      <c r="E1626">
        <v>548817</v>
      </c>
      <c r="F1626" t="s">
        <v>1562</v>
      </c>
      <c r="G1626" t="s">
        <v>1894</v>
      </c>
      <c r="H1626" s="4">
        <v>46078</v>
      </c>
      <c r="I1626" t="s">
        <v>1966</v>
      </c>
    </row>
    <row r="1627" spans="1:9" x14ac:dyDescent="0.25">
      <c r="A1627" t="s">
        <v>272</v>
      </c>
      <c r="B1627" t="s">
        <v>260</v>
      </c>
      <c r="C1627" s="3">
        <v>1015</v>
      </c>
      <c r="D1627" t="s">
        <v>9</v>
      </c>
      <c r="E1627">
        <v>549157</v>
      </c>
      <c r="F1627" t="s">
        <v>1562</v>
      </c>
      <c r="G1627" t="s">
        <v>1890</v>
      </c>
      <c r="H1627" s="4">
        <v>46078</v>
      </c>
      <c r="I1627" t="s">
        <v>1966</v>
      </c>
    </row>
    <row r="1628" spans="1:9" x14ac:dyDescent="0.25">
      <c r="A1628" t="s">
        <v>271</v>
      </c>
      <c r="B1628" t="s">
        <v>260</v>
      </c>
      <c r="C1628" s="3">
        <v>205</v>
      </c>
      <c r="D1628" t="s">
        <v>9</v>
      </c>
      <c r="E1628">
        <v>549158</v>
      </c>
      <c r="F1628" t="s">
        <v>1562</v>
      </c>
      <c r="G1628" t="s">
        <v>1891</v>
      </c>
      <c r="H1628" s="4">
        <v>46078</v>
      </c>
      <c r="I1628" t="s">
        <v>1966</v>
      </c>
    </row>
    <row r="1629" spans="1:9" x14ac:dyDescent="0.25">
      <c r="A1629" t="s">
        <v>270</v>
      </c>
      <c r="B1629" t="s">
        <v>260</v>
      </c>
      <c r="C1629" s="3">
        <v>250</v>
      </c>
      <c r="D1629" t="s">
        <v>9</v>
      </c>
      <c r="E1629">
        <v>549159</v>
      </c>
      <c r="F1629" t="s">
        <v>1562</v>
      </c>
      <c r="H1629" s="4">
        <v>46078</v>
      </c>
      <c r="I1629" t="s">
        <v>1966</v>
      </c>
    </row>
    <row r="1630" spans="1:9" x14ac:dyDescent="0.25">
      <c r="A1630" t="s">
        <v>269</v>
      </c>
      <c r="B1630" t="s">
        <v>260</v>
      </c>
      <c r="C1630" s="3">
        <v>700</v>
      </c>
      <c r="D1630" t="s">
        <v>9</v>
      </c>
      <c r="E1630">
        <v>549160</v>
      </c>
      <c r="F1630" t="s">
        <v>1562</v>
      </c>
      <c r="G1630" t="s">
        <v>1892</v>
      </c>
      <c r="H1630" s="4">
        <v>46078</v>
      </c>
      <c r="I1630" t="s">
        <v>1966</v>
      </c>
    </row>
    <row r="1631" spans="1:9" x14ac:dyDescent="0.25">
      <c r="A1631" t="s">
        <v>180</v>
      </c>
      <c r="B1631" t="s">
        <v>260</v>
      </c>
      <c r="C1631" s="3">
        <v>1800</v>
      </c>
      <c r="D1631" t="s">
        <v>9</v>
      </c>
      <c r="E1631">
        <v>549170</v>
      </c>
      <c r="F1631" t="s">
        <v>1562</v>
      </c>
      <c r="H1631" s="4">
        <v>46078</v>
      </c>
      <c r="I1631" t="s">
        <v>1966</v>
      </c>
    </row>
    <row r="1632" spans="1:9" x14ac:dyDescent="0.25">
      <c r="A1632" t="s">
        <v>268</v>
      </c>
      <c r="B1632" t="s">
        <v>260</v>
      </c>
      <c r="C1632" s="3">
        <v>525</v>
      </c>
      <c r="D1632" t="s">
        <v>9</v>
      </c>
      <c r="E1632">
        <v>549171</v>
      </c>
      <c r="F1632" t="s">
        <v>1562</v>
      </c>
      <c r="G1632" t="s">
        <v>1893</v>
      </c>
      <c r="H1632" s="4">
        <v>46078</v>
      </c>
      <c r="I1632" t="s">
        <v>1966</v>
      </c>
    </row>
    <row r="1633" spans="1:9" x14ac:dyDescent="0.25">
      <c r="A1633" t="s">
        <v>268</v>
      </c>
      <c r="B1633" t="s">
        <v>260</v>
      </c>
      <c r="C1633" s="3">
        <v>1200</v>
      </c>
      <c r="D1633" t="s">
        <v>9</v>
      </c>
      <c r="E1633">
        <v>549173</v>
      </c>
      <c r="F1633" t="s">
        <v>1562</v>
      </c>
      <c r="H1633" s="4">
        <v>46080</v>
      </c>
      <c r="I1633" t="s">
        <v>1966</v>
      </c>
    </row>
    <row r="1634" spans="1:9" x14ac:dyDescent="0.25">
      <c r="A1634" t="s">
        <v>273</v>
      </c>
      <c r="B1634" t="s">
        <v>260</v>
      </c>
      <c r="C1634" s="3">
        <v>400</v>
      </c>
      <c r="D1634" t="s">
        <v>9</v>
      </c>
      <c r="E1634">
        <v>549120</v>
      </c>
      <c r="F1634" t="s">
        <v>1563</v>
      </c>
      <c r="G1634" t="s">
        <v>1895</v>
      </c>
      <c r="H1634" s="4">
        <v>46083</v>
      </c>
      <c r="I1634" t="s">
        <v>1966</v>
      </c>
    </row>
    <row r="1635" spans="1:9" x14ac:dyDescent="0.25">
      <c r="A1635" t="s">
        <v>78</v>
      </c>
      <c r="B1635" t="s">
        <v>260</v>
      </c>
      <c r="C1635" s="3">
        <v>427.9</v>
      </c>
      <c r="D1635" t="s">
        <v>9</v>
      </c>
      <c r="E1635">
        <v>549121</v>
      </c>
      <c r="F1635" t="s">
        <v>1563</v>
      </c>
      <c r="G1635" t="s">
        <v>1896</v>
      </c>
      <c r="H1635" s="4">
        <v>46083</v>
      </c>
      <c r="I1635" t="s">
        <v>1966</v>
      </c>
    </row>
    <row r="1636" spans="1:9" x14ac:dyDescent="0.25">
      <c r="A1636" t="s">
        <v>275</v>
      </c>
      <c r="B1636" t="s">
        <v>260</v>
      </c>
      <c r="C1636" s="3">
        <v>500</v>
      </c>
      <c r="D1636" t="s">
        <v>17</v>
      </c>
      <c r="E1636">
        <v>549304</v>
      </c>
      <c r="F1636" t="s">
        <v>1562</v>
      </c>
      <c r="H1636" s="4">
        <v>46084</v>
      </c>
      <c r="I1636" t="s">
        <v>1966</v>
      </c>
    </row>
    <row r="1637" spans="1:9" x14ac:dyDescent="0.25">
      <c r="A1637" t="s">
        <v>2008</v>
      </c>
      <c r="B1637" t="s">
        <v>260</v>
      </c>
      <c r="C1637" s="3">
        <v>500</v>
      </c>
      <c r="D1637" t="s">
        <v>18</v>
      </c>
      <c r="E1637">
        <v>549574</v>
      </c>
      <c r="F1637" t="s">
        <v>1562</v>
      </c>
      <c r="G1637" t="s">
        <v>2038</v>
      </c>
      <c r="H1637" s="4">
        <v>46104</v>
      </c>
      <c r="I1637" t="s">
        <v>1966</v>
      </c>
    </row>
    <row r="1638" spans="1:9" x14ac:dyDescent="0.25">
      <c r="A1638" t="s">
        <v>2039</v>
      </c>
      <c r="B1638" t="s">
        <v>260</v>
      </c>
      <c r="C1638" s="3">
        <v>1500</v>
      </c>
      <c r="D1638" t="s">
        <v>9</v>
      </c>
      <c r="E1638">
        <v>549538</v>
      </c>
      <c r="F1638" t="s">
        <v>1562</v>
      </c>
      <c r="G1638" t="s">
        <v>2040</v>
      </c>
      <c r="H1638" s="4">
        <v>46106</v>
      </c>
      <c r="I1638" t="s">
        <v>1966</v>
      </c>
    </row>
    <row r="1639" spans="1:9" x14ac:dyDescent="0.25">
      <c r="A1639" t="s">
        <v>257</v>
      </c>
      <c r="B1639" t="s">
        <v>256</v>
      </c>
      <c r="C1639" s="3">
        <v>128</v>
      </c>
      <c r="D1639" t="s">
        <v>9</v>
      </c>
      <c r="E1639">
        <v>536013</v>
      </c>
      <c r="F1639" t="s">
        <v>1562</v>
      </c>
      <c r="H1639" s="4">
        <v>45755</v>
      </c>
      <c r="I1639" t="s">
        <v>1965</v>
      </c>
    </row>
    <row r="1640" spans="1:9" x14ac:dyDescent="0.25">
      <c r="A1640" t="s">
        <v>258</v>
      </c>
      <c r="B1640" t="s">
        <v>256</v>
      </c>
      <c r="C1640" s="3">
        <v>70</v>
      </c>
      <c r="D1640" t="s">
        <v>9</v>
      </c>
      <c r="E1640">
        <v>549107</v>
      </c>
      <c r="F1640" t="s">
        <v>1562</v>
      </c>
      <c r="H1640" s="4">
        <v>46064</v>
      </c>
      <c r="I1640" t="s">
        <v>1965</v>
      </c>
    </row>
    <row r="1641" spans="1:9" x14ac:dyDescent="0.25">
      <c r="A1641" t="s">
        <v>258</v>
      </c>
      <c r="B1641" t="s">
        <v>256</v>
      </c>
      <c r="C1641" s="3">
        <v>20</v>
      </c>
      <c r="D1641" t="s">
        <v>9</v>
      </c>
      <c r="E1641">
        <v>548214</v>
      </c>
      <c r="F1641" t="s">
        <v>1562</v>
      </c>
      <c r="H1641" s="4">
        <v>46064</v>
      </c>
      <c r="I1641" t="s">
        <v>1965</v>
      </c>
    </row>
    <row r="1642" spans="1:9" x14ac:dyDescent="0.25">
      <c r="A1642" t="s">
        <v>257</v>
      </c>
      <c r="B1642" t="s">
        <v>256</v>
      </c>
      <c r="C1642" s="3">
        <v>64</v>
      </c>
      <c r="D1642" t="s">
        <v>9</v>
      </c>
      <c r="E1642">
        <v>549328</v>
      </c>
      <c r="F1642" t="s">
        <v>1562</v>
      </c>
      <c r="G1642" t="s">
        <v>1968</v>
      </c>
      <c r="H1642" s="4">
        <v>46092</v>
      </c>
      <c r="I1642" t="s">
        <v>1965</v>
      </c>
    </row>
    <row r="1643" spans="1:9" x14ac:dyDescent="0.25">
      <c r="A1643" t="s">
        <v>254</v>
      </c>
      <c r="B1643" t="s">
        <v>238</v>
      </c>
      <c r="C1643" s="3">
        <v>500</v>
      </c>
      <c r="D1643" t="s">
        <v>2</v>
      </c>
      <c r="E1643">
        <v>536602</v>
      </c>
      <c r="F1643" t="s">
        <v>1562</v>
      </c>
      <c r="H1643" s="4">
        <v>45768</v>
      </c>
      <c r="I1643" t="s">
        <v>1965</v>
      </c>
    </row>
    <row r="1644" spans="1:9" x14ac:dyDescent="0.25">
      <c r="A1644" t="s">
        <v>255</v>
      </c>
      <c r="B1644" t="s">
        <v>238</v>
      </c>
      <c r="C1644" s="3">
        <v>500</v>
      </c>
      <c r="D1644" t="s">
        <v>2</v>
      </c>
      <c r="E1644">
        <v>536632</v>
      </c>
      <c r="F1644" t="s">
        <v>1562</v>
      </c>
      <c r="G1644" t="s">
        <v>1897</v>
      </c>
      <c r="H1644" s="4">
        <v>45769</v>
      </c>
      <c r="I1644" t="s">
        <v>1965</v>
      </c>
    </row>
    <row r="1645" spans="1:9" x14ac:dyDescent="0.25">
      <c r="A1645" t="s">
        <v>249</v>
      </c>
      <c r="B1645" t="s">
        <v>238</v>
      </c>
      <c r="C1645" s="3">
        <v>75</v>
      </c>
      <c r="D1645" t="s">
        <v>2</v>
      </c>
      <c r="E1645">
        <v>536872</v>
      </c>
      <c r="F1645" t="s">
        <v>1562</v>
      </c>
      <c r="H1645" s="4">
        <v>45772</v>
      </c>
      <c r="I1645" t="s">
        <v>1965</v>
      </c>
    </row>
    <row r="1646" spans="1:9" x14ac:dyDescent="0.25">
      <c r="A1646" t="s">
        <v>248</v>
      </c>
      <c r="B1646" t="s">
        <v>238</v>
      </c>
      <c r="C1646" s="3">
        <v>100</v>
      </c>
      <c r="D1646" t="s">
        <v>2</v>
      </c>
      <c r="E1646">
        <v>536873</v>
      </c>
      <c r="F1646" t="s">
        <v>1562</v>
      </c>
      <c r="H1646" s="4">
        <v>45772</v>
      </c>
      <c r="I1646" t="s">
        <v>1965</v>
      </c>
    </row>
    <row r="1647" spans="1:9" x14ac:dyDescent="0.25">
      <c r="A1647" t="s">
        <v>247</v>
      </c>
      <c r="B1647" t="s">
        <v>238</v>
      </c>
      <c r="C1647" s="3">
        <v>100</v>
      </c>
      <c r="D1647" t="s">
        <v>2</v>
      </c>
      <c r="E1647">
        <v>536874</v>
      </c>
      <c r="F1647" t="s">
        <v>1562</v>
      </c>
      <c r="H1647" s="4">
        <v>45772</v>
      </c>
      <c r="I1647" t="s">
        <v>1965</v>
      </c>
    </row>
    <row r="1648" spans="1:9" x14ac:dyDescent="0.25">
      <c r="A1648" t="s">
        <v>246</v>
      </c>
      <c r="B1648" t="s">
        <v>238</v>
      </c>
      <c r="C1648" s="3">
        <v>100</v>
      </c>
      <c r="D1648" t="s">
        <v>2</v>
      </c>
      <c r="E1648">
        <v>536875</v>
      </c>
      <c r="F1648" t="s">
        <v>1562</v>
      </c>
      <c r="H1648" s="4">
        <v>45772</v>
      </c>
      <c r="I1648" t="s">
        <v>1965</v>
      </c>
    </row>
    <row r="1649" spans="1:9" x14ac:dyDescent="0.25">
      <c r="A1649" t="s">
        <v>245</v>
      </c>
      <c r="B1649" t="s">
        <v>238</v>
      </c>
      <c r="C1649" s="3">
        <v>100</v>
      </c>
      <c r="D1649" t="s">
        <v>2</v>
      </c>
      <c r="E1649">
        <v>536876</v>
      </c>
      <c r="F1649" t="s">
        <v>1562</v>
      </c>
      <c r="H1649" s="4">
        <v>45772</v>
      </c>
      <c r="I1649" t="s">
        <v>1965</v>
      </c>
    </row>
    <row r="1650" spans="1:9" x14ac:dyDescent="0.25">
      <c r="A1650" t="s">
        <v>244</v>
      </c>
      <c r="B1650" t="s">
        <v>238</v>
      </c>
      <c r="C1650" s="3">
        <v>50</v>
      </c>
      <c r="D1650" t="s">
        <v>2</v>
      </c>
      <c r="E1650">
        <v>536877</v>
      </c>
      <c r="F1650" t="s">
        <v>1562</v>
      </c>
      <c r="H1650" s="4">
        <v>45772</v>
      </c>
      <c r="I1650" t="s">
        <v>1965</v>
      </c>
    </row>
    <row r="1651" spans="1:9" x14ac:dyDescent="0.25">
      <c r="A1651" t="s">
        <v>243</v>
      </c>
      <c r="B1651" t="s">
        <v>238</v>
      </c>
      <c r="C1651" s="3">
        <v>100</v>
      </c>
      <c r="D1651" t="s">
        <v>2</v>
      </c>
      <c r="E1651">
        <v>536878</v>
      </c>
      <c r="F1651" t="s">
        <v>1562</v>
      </c>
      <c r="H1651" s="4">
        <v>45772</v>
      </c>
      <c r="I1651" t="s">
        <v>1965</v>
      </c>
    </row>
    <row r="1652" spans="1:9" x14ac:dyDescent="0.25">
      <c r="A1652" t="s">
        <v>250</v>
      </c>
      <c r="B1652" t="s">
        <v>238</v>
      </c>
      <c r="C1652" s="3">
        <v>200</v>
      </c>
      <c r="D1652" t="s">
        <v>2</v>
      </c>
      <c r="E1652">
        <v>536910</v>
      </c>
      <c r="F1652" t="s">
        <v>1562</v>
      </c>
      <c r="H1652" s="4">
        <v>45773</v>
      </c>
      <c r="I1652" t="s">
        <v>1965</v>
      </c>
    </row>
    <row r="1653" spans="1:9" x14ac:dyDescent="0.25">
      <c r="A1653" t="s">
        <v>251</v>
      </c>
      <c r="B1653" t="s">
        <v>238</v>
      </c>
      <c r="C1653" s="3">
        <v>100</v>
      </c>
      <c r="D1653" t="s">
        <v>2</v>
      </c>
      <c r="E1653">
        <v>536912</v>
      </c>
      <c r="F1653" t="s">
        <v>1562</v>
      </c>
      <c r="H1653" s="4">
        <v>45773</v>
      </c>
      <c r="I1653" t="s">
        <v>1965</v>
      </c>
    </row>
    <row r="1654" spans="1:9" x14ac:dyDescent="0.25">
      <c r="A1654" t="s">
        <v>252</v>
      </c>
      <c r="B1654" t="s">
        <v>238</v>
      </c>
      <c r="C1654" s="3">
        <v>100</v>
      </c>
      <c r="D1654" t="s">
        <v>2</v>
      </c>
      <c r="E1654">
        <v>536920</v>
      </c>
      <c r="F1654" t="s">
        <v>1562</v>
      </c>
      <c r="H1654" s="4">
        <v>45773</v>
      </c>
      <c r="I1654" t="s">
        <v>1965</v>
      </c>
    </row>
    <row r="1655" spans="1:9" x14ac:dyDescent="0.25">
      <c r="A1655" t="s">
        <v>253</v>
      </c>
      <c r="B1655" t="s">
        <v>238</v>
      </c>
      <c r="C1655" s="3">
        <v>250</v>
      </c>
      <c r="D1655" t="s">
        <v>2</v>
      </c>
      <c r="E1655">
        <v>536924</v>
      </c>
      <c r="F1655" t="s">
        <v>1562</v>
      </c>
      <c r="H1655" s="4">
        <v>45774</v>
      </c>
      <c r="I1655" t="s">
        <v>1965</v>
      </c>
    </row>
    <row r="1656" spans="1:9" x14ac:dyDescent="0.25">
      <c r="A1656" t="s">
        <v>242</v>
      </c>
      <c r="B1656" t="s">
        <v>238</v>
      </c>
      <c r="C1656" s="3">
        <v>250</v>
      </c>
      <c r="D1656" t="s">
        <v>2</v>
      </c>
      <c r="E1656">
        <v>537704</v>
      </c>
      <c r="F1656" t="s">
        <v>1562</v>
      </c>
      <c r="H1656" s="4">
        <v>45803</v>
      </c>
      <c r="I1656" t="s">
        <v>1965</v>
      </c>
    </row>
    <row r="1657" spans="1:9" x14ac:dyDescent="0.25">
      <c r="A1657" t="s">
        <v>241</v>
      </c>
      <c r="B1657" t="s">
        <v>238</v>
      </c>
      <c r="C1657" s="3">
        <v>4644.29</v>
      </c>
      <c r="D1657" t="s">
        <v>2</v>
      </c>
      <c r="E1657">
        <v>537705</v>
      </c>
      <c r="F1657" t="s">
        <v>1562</v>
      </c>
      <c r="H1657" s="4">
        <v>45803</v>
      </c>
      <c r="I1657" t="s">
        <v>1965</v>
      </c>
    </row>
    <row r="1658" spans="1:9" x14ac:dyDescent="0.25">
      <c r="A1658" t="s">
        <v>239</v>
      </c>
      <c r="B1658" t="s">
        <v>238</v>
      </c>
      <c r="C1658" s="3">
        <v>500</v>
      </c>
      <c r="D1658" t="s">
        <v>2</v>
      </c>
      <c r="E1658">
        <v>547156</v>
      </c>
      <c r="F1658" t="s">
        <v>1562</v>
      </c>
      <c r="H1658" s="4">
        <v>46031</v>
      </c>
      <c r="I1658" t="s">
        <v>1965</v>
      </c>
    </row>
    <row r="1659" spans="1:9" x14ac:dyDescent="0.25">
      <c r="A1659" t="s">
        <v>240</v>
      </c>
      <c r="B1659" t="s">
        <v>238</v>
      </c>
      <c r="C1659" s="3">
        <v>750</v>
      </c>
      <c r="D1659" t="s">
        <v>2</v>
      </c>
      <c r="E1659">
        <v>548254</v>
      </c>
      <c r="F1659" t="s">
        <v>1562</v>
      </c>
      <c r="H1659" s="4">
        <v>46059</v>
      </c>
      <c r="I1659" t="s">
        <v>1965</v>
      </c>
    </row>
    <row r="1660" spans="1:9" x14ac:dyDescent="0.25">
      <c r="A1660" t="s">
        <v>2041</v>
      </c>
      <c r="B1660" t="s">
        <v>238</v>
      </c>
      <c r="C1660" s="3">
        <v>25</v>
      </c>
      <c r="D1660" t="s">
        <v>2</v>
      </c>
      <c r="E1660">
        <v>549532</v>
      </c>
      <c r="F1660" t="s">
        <v>1562</v>
      </c>
      <c r="H1660" s="4">
        <v>46099</v>
      </c>
      <c r="I1660" t="s">
        <v>1965</v>
      </c>
    </row>
    <row r="1661" spans="1:9" x14ac:dyDescent="0.25">
      <c r="A1661" t="s">
        <v>2042</v>
      </c>
      <c r="B1661" t="s">
        <v>238</v>
      </c>
      <c r="C1661" s="3">
        <v>100</v>
      </c>
      <c r="D1661" t="s">
        <v>2</v>
      </c>
      <c r="E1661">
        <v>549546</v>
      </c>
      <c r="F1661" t="s">
        <v>1562</v>
      </c>
      <c r="H1661" s="4">
        <v>46100</v>
      </c>
      <c r="I1661" t="s">
        <v>1965</v>
      </c>
    </row>
    <row r="1662" spans="1:9" x14ac:dyDescent="0.25">
      <c r="A1662" t="s">
        <v>248</v>
      </c>
      <c r="B1662" t="s">
        <v>238</v>
      </c>
      <c r="C1662" s="3">
        <v>100</v>
      </c>
      <c r="D1662" t="s">
        <v>2</v>
      </c>
      <c r="E1662">
        <v>549553</v>
      </c>
      <c r="F1662" t="s">
        <v>1562</v>
      </c>
      <c r="H1662" s="4">
        <v>46101</v>
      </c>
      <c r="I1662" t="s">
        <v>1965</v>
      </c>
    </row>
    <row r="1663" spans="1:9" x14ac:dyDescent="0.25">
      <c r="A1663" t="s">
        <v>243</v>
      </c>
      <c r="B1663" t="s">
        <v>238</v>
      </c>
      <c r="C1663" s="3">
        <v>50</v>
      </c>
      <c r="D1663" t="s">
        <v>2</v>
      </c>
      <c r="E1663">
        <v>549972</v>
      </c>
      <c r="F1663" t="s">
        <v>1562</v>
      </c>
      <c r="G1663" t="s">
        <v>1632</v>
      </c>
      <c r="H1663" s="4">
        <v>46106</v>
      </c>
      <c r="I1663" t="s">
        <v>1965</v>
      </c>
    </row>
    <row r="1664" spans="1:9" x14ac:dyDescent="0.25">
      <c r="A1664" t="s">
        <v>237</v>
      </c>
      <c r="B1664" t="s">
        <v>236</v>
      </c>
      <c r="C1664" s="3">
        <v>20878</v>
      </c>
      <c r="D1664" t="s">
        <v>39</v>
      </c>
      <c r="E1664">
        <v>547030</v>
      </c>
      <c r="F1664" t="s">
        <v>1562</v>
      </c>
      <c r="H1664" s="4">
        <v>46031</v>
      </c>
      <c r="I1664" t="s">
        <v>1965</v>
      </c>
    </row>
    <row r="1665" spans="1:9" x14ac:dyDescent="0.25">
      <c r="A1665" t="s">
        <v>197</v>
      </c>
      <c r="B1665" t="s">
        <v>191</v>
      </c>
      <c r="C1665" s="3">
        <v>252</v>
      </c>
      <c r="D1665" t="s">
        <v>2</v>
      </c>
      <c r="E1665">
        <v>540144</v>
      </c>
      <c r="F1665" t="s">
        <v>1562</v>
      </c>
      <c r="H1665" s="4">
        <v>45860</v>
      </c>
      <c r="I1665" t="s">
        <v>1965</v>
      </c>
    </row>
    <row r="1666" spans="1:9" x14ac:dyDescent="0.25">
      <c r="A1666" t="s">
        <v>206</v>
      </c>
      <c r="B1666" t="s">
        <v>191</v>
      </c>
      <c r="C1666" s="3">
        <v>125</v>
      </c>
      <c r="D1666" t="s">
        <v>2</v>
      </c>
      <c r="E1666">
        <v>540145</v>
      </c>
      <c r="F1666" t="s">
        <v>1562</v>
      </c>
      <c r="H1666" s="4">
        <v>45860</v>
      </c>
      <c r="I1666" t="s">
        <v>1965</v>
      </c>
    </row>
    <row r="1667" spans="1:9" x14ac:dyDescent="0.25">
      <c r="A1667" t="s">
        <v>204</v>
      </c>
      <c r="B1667" t="s">
        <v>191</v>
      </c>
      <c r="C1667" s="3">
        <v>70</v>
      </c>
      <c r="D1667" t="s">
        <v>2</v>
      </c>
      <c r="E1667">
        <v>540146</v>
      </c>
      <c r="F1667" t="s">
        <v>1562</v>
      </c>
      <c r="H1667" s="4">
        <v>45860</v>
      </c>
      <c r="I1667" t="s">
        <v>1965</v>
      </c>
    </row>
    <row r="1668" spans="1:9" x14ac:dyDescent="0.25">
      <c r="A1668" t="s">
        <v>235</v>
      </c>
      <c r="B1668" t="s">
        <v>191</v>
      </c>
      <c r="C1668" s="3">
        <v>100</v>
      </c>
      <c r="D1668" t="s">
        <v>2</v>
      </c>
      <c r="E1668">
        <v>540147</v>
      </c>
      <c r="F1668" t="s">
        <v>1562</v>
      </c>
      <c r="H1668" s="4">
        <v>45860</v>
      </c>
      <c r="I1668" t="s">
        <v>1965</v>
      </c>
    </row>
    <row r="1669" spans="1:9" x14ac:dyDescent="0.25">
      <c r="A1669" t="s">
        <v>234</v>
      </c>
      <c r="B1669" t="s">
        <v>191</v>
      </c>
      <c r="C1669" s="3">
        <v>1500</v>
      </c>
      <c r="D1669" t="s">
        <v>2</v>
      </c>
      <c r="E1669">
        <v>540148</v>
      </c>
      <c r="F1669" t="s">
        <v>1562</v>
      </c>
      <c r="H1669" s="4">
        <v>45860</v>
      </c>
      <c r="I1669" t="s">
        <v>1965</v>
      </c>
    </row>
    <row r="1670" spans="1:9" x14ac:dyDescent="0.25">
      <c r="A1670" t="s">
        <v>233</v>
      </c>
      <c r="B1670" t="s">
        <v>191</v>
      </c>
      <c r="C1670" s="3">
        <v>100</v>
      </c>
      <c r="D1670" t="s">
        <v>2</v>
      </c>
      <c r="E1670">
        <v>540149</v>
      </c>
      <c r="F1670" t="s">
        <v>1562</v>
      </c>
      <c r="H1670" s="4">
        <v>45860</v>
      </c>
      <c r="I1670" t="s">
        <v>1965</v>
      </c>
    </row>
    <row r="1671" spans="1:9" x14ac:dyDescent="0.25">
      <c r="A1671" t="s">
        <v>194</v>
      </c>
      <c r="B1671" t="s">
        <v>191</v>
      </c>
      <c r="C1671" s="3">
        <v>1953</v>
      </c>
      <c r="D1671" t="s">
        <v>2</v>
      </c>
      <c r="E1671">
        <v>540150</v>
      </c>
      <c r="F1671" t="s">
        <v>1562</v>
      </c>
      <c r="H1671" s="4">
        <v>45860</v>
      </c>
      <c r="I1671" t="s">
        <v>1965</v>
      </c>
    </row>
    <row r="1672" spans="1:9" x14ac:dyDescent="0.25">
      <c r="A1672" t="s">
        <v>200</v>
      </c>
      <c r="B1672" t="s">
        <v>191</v>
      </c>
      <c r="C1672" s="3">
        <v>125</v>
      </c>
      <c r="D1672" t="s">
        <v>2</v>
      </c>
      <c r="E1672">
        <v>541160</v>
      </c>
      <c r="F1672" t="s">
        <v>1562</v>
      </c>
      <c r="H1672" s="4">
        <v>45881</v>
      </c>
      <c r="I1672" t="s">
        <v>1965</v>
      </c>
    </row>
    <row r="1673" spans="1:9" x14ac:dyDescent="0.25">
      <c r="A1673" t="s">
        <v>199</v>
      </c>
      <c r="B1673" t="s">
        <v>191</v>
      </c>
      <c r="C1673" s="3">
        <v>100</v>
      </c>
      <c r="D1673" t="s">
        <v>2</v>
      </c>
      <c r="E1673">
        <v>541162</v>
      </c>
      <c r="F1673" t="s">
        <v>1562</v>
      </c>
      <c r="H1673" s="4">
        <v>45881</v>
      </c>
      <c r="I1673" t="s">
        <v>1965</v>
      </c>
    </row>
    <row r="1674" spans="1:9" x14ac:dyDescent="0.25">
      <c r="A1674" t="s">
        <v>198</v>
      </c>
      <c r="B1674" t="s">
        <v>191</v>
      </c>
      <c r="C1674" s="3">
        <v>200</v>
      </c>
      <c r="D1674" t="s">
        <v>2</v>
      </c>
      <c r="E1674">
        <v>541163</v>
      </c>
      <c r="F1674" t="s">
        <v>1562</v>
      </c>
      <c r="H1674" s="4">
        <v>45881</v>
      </c>
      <c r="I1674" t="s">
        <v>1965</v>
      </c>
    </row>
    <row r="1675" spans="1:9" x14ac:dyDescent="0.25">
      <c r="A1675" t="s">
        <v>197</v>
      </c>
      <c r="B1675" t="s">
        <v>191</v>
      </c>
      <c r="C1675" s="3">
        <v>250</v>
      </c>
      <c r="D1675" t="s">
        <v>2</v>
      </c>
      <c r="E1675">
        <v>541164</v>
      </c>
      <c r="F1675" t="s">
        <v>1562</v>
      </c>
      <c r="H1675" s="4">
        <v>45881</v>
      </c>
      <c r="I1675" t="s">
        <v>1965</v>
      </c>
    </row>
    <row r="1676" spans="1:9" x14ac:dyDescent="0.25">
      <c r="A1676" t="s">
        <v>196</v>
      </c>
      <c r="B1676" t="s">
        <v>191</v>
      </c>
      <c r="C1676" s="3">
        <v>165</v>
      </c>
      <c r="D1676" t="s">
        <v>2</v>
      </c>
      <c r="E1676">
        <v>541165</v>
      </c>
      <c r="F1676" t="s">
        <v>1562</v>
      </c>
      <c r="H1676" s="4">
        <v>45881</v>
      </c>
      <c r="I1676" t="s">
        <v>1965</v>
      </c>
    </row>
    <row r="1677" spans="1:9" x14ac:dyDescent="0.25">
      <c r="A1677" t="s">
        <v>195</v>
      </c>
      <c r="B1677" t="s">
        <v>191</v>
      </c>
      <c r="C1677" s="3">
        <v>100</v>
      </c>
      <c r="D1677" t="s">
        <v>2</v>
      </c>
      <c r="E1677">
        <v>541166</v>
      </c>
      <c r="F1677" t="s">
        <v>1562</v>
      </c>
      <c r="H1677" s="4">
        <v>45881</v>
      </c>
      <c r="I1677" t="s">
        <v>1965</v>
      </c>
    </row>
    <row r="1678" spans="1:9" x14ac:dyDescent="0.25">
      <c r="A1678" t="s">
        <v>194</v>
      </c>
      <c r="B1678" t="s">
        <v>191</v>
      </c>
      <c r="C1678" s="3">
        <v>2310</v>
      </c>
      <c r="D1678" t="s">
        <v>2</v>
      </c>
      <c r="E1678">
        <v>541167</v>
      </c>
      <c r="F1678" t="s">
        <v>1562</v>
      </c>
      <c r="H1678" s="4">
        <v>45881</v>
      </c>
      <c r="I1678" t="s">
        <v>1965</v>
      </c>
    </row>
    <row r="1679" spans="1:9" x14ac:dyDescent="0.25">
      <c r="A1679" t="s">
        <v>193</v>
      </c>
      <c r="B1679" t="s">
        <v>191</v>
      </c>
      <c r="C1679" s="3">
        <v>150</v>
      </c>
      <c r="D1679" t="s">
        <v>2</v>
      </c>
      <c r="E1679">
        <v>541168</v>
      </c>
      <c r="F1679" t="s">
        <v>1562</v>
      </c>
      <c r="H1679" s="4">
        <v>45881</v>
      </c>
      <c r="I1679" t="s">
        <v>1965</v>
      </c>
    </row>
    <row r="1680" spans="1:9" x14ac:dyDescent="0.25">
      <c r="A1680" t="s">
        <v>193</v>
      </c>
      <c r="B1680" t="s">
        <v>191</v>
      </c>
      <c r="C1680" s="3">
        <v>100</v>
      </c>
      <c r="D1680" t="s">
        <v>2</v>
      </c>
      <c r="E1680">
        <v>541169</v>
      </c>
      <c r="F1680" t="s">
        <v>1562</v>
      </c>
      <c r="H1680" s="4">
        <v>45881</v>
      </c>
      <c r="I1680" t="s">
        <v>1965</v>
      </c>
    </row>
    <row r="1681" spans="1:9" x14ac:dyDescent="0.25">
      <c r="A1681" t="s">
        <v>192</v>
      </c>
      <c r="B1681" t="s">
        <v>191</v>
      </c>
      <c r="C1681" s="3">
        <v>500</v>
      </c>
      <c r="D1681" t="s">
        <v>2</v>
      </c>
      <c r="E1681">
        <v>541171</v>
      </c>
      <c r="F1681" t="s">
        <v>1562</v>
      </c>
      <c r="H1681" s="4">
        <v>45881</v>
      </c>
      <c r="I1681" t="s">
        <v>1965</v>
      </c>
    </row>
    <row r="1682" spans="1:9" x14ac:dyDescent="0.25">
      <c r="A1682" t="s">
        <v>232</v>
      </c>
      <c r="B1682" t="s">
        <v>191</v>
      </c>
      <c r="C1682" s="3">
        <v>80</v>
      </c>
      <c r="D1682" t="s">
        <v>2</v>
      </c>
      <c r="E1682">
        <v>542341</v>
      </c>
      <c r="F1682" t="s">
        <v>1562</v>
      </c>
      <c r="H1682" s="4">
        <v>45917</v>
      </c>
      <c r="I1682" t="s">
        <v>1965</v>
      </c>
    </row>
    <row r="1683" spans="1:9" x14ac:dyDescent="0.25">
      <c r="A1683" t="s">
        <v>231</v>
      </c>
      <c r="B1683" t="s">
        <v>191</v>
      </c>
      <c r="C1683" s="3">
        <v>50</v>
      </c>
      <c r="D1683" t="s">
        <v>2</v>
      </c>
      <c r="E1683">
        <v>542342</v>
      </c>
      <c r="F1683" t="s">
        <v>1562</v>
      </c>
      <c r="H1683" s="4">
        <v>45917</v>
      </c>
      <c r="I1683" t="s">
        <v>1965</v>
      </c>
    </row>
    <row r="1684" spans="1:9" x14ac:dyDescent="0.25">
      <c r="A1684" t="s">
        <v>230</v>
      </c>
      <c r="B1684" t="s">
        <v>191</v>
      </c>
      <c r="C1684" s="3">
        <v>50</v>
      </c>
      <c r="D1684" t="s">
        <v>2</v>
      </c>
      <c r="E1684">
        <v>542343</v>
      </c>
      <c r="F1684" t="s">
        <v>1562</v>
      </c>
      <c r="H1684" s="4">
        <v>45917</v>
      </c>
      <c r="I1684" t="s">
        <v>1965</v>
      </c>
    </row>
    <row r="1685" spans="1:9" x14ac:dyDescent="0.25">
      <c r="A1685" t="s">
        <v>229</v>
      </c>
      <c r="B1685" t="s">
        <v>191</v>
      </c>
      <c r="C1685" s="3">
        <v>20</v>
      </c>
      <c r="D1685" t="s">
        <v>2</v>
      </c>
      <c r="E1685">
        <v>542344</v>
      </c>
      <c r="F1685" t="s">
        <v>1562</v>
      </c>
      <c r="H1685" s="4">
        <v>45917</v>
      </c>
      <c r="I1685" t="s">
        <v>1965</v>
      </c>
    </row>
    <row r="1686" spans="1:9" x14ac:dyDescent="0.25">
      <c r="A1686" t="s">
        <v>200</v>
      </c>
      <c r="B1686" t="s">
        <v>191</v>
      </c>
      <c r="C1686" s="3">
        <v>100</v>
      </c>
      <c r="D1686" t="s">
        <v>2</v>
      </c>
      <c r="E1686">
        <v>542345</v>
      </c>
      <c r="F1686" t="s">
        <v>1562</v>
      </c>
      <c r="H1686" s="4">
        <v>45917</v>
      </c>
      <c r="I1686" t="s">
        <v>1965</v>
      </c>
    </row>
    <row r="1687" spans="1:9" x14ac:dyDescent="0.25">
      <c r="A1687" t="s">
        <v>14</v>
      </c>
      <c r="B1687" t="s">
        <v>191</v>
      </c>
      <c r="C1687" s="3">
        <v>60</v>
      </c>
      <c r="D1687" t="s">
        <v>2</v>
      </c>
      <c r="E1687">
        <v>542346</v>
      </c>
      <c r="F1687" t="s">
        <v>1562</v>
      </c>
      <c r="G1687" t="s">
        <v>1899</v>
      </c>
      <c r="H1687" s="4">
        <v>45917</v>
      </c>
      <c r="I1687" t="s">
        <v>1965</v>
      </c>
    </row>
    <row r="1688" spans="1:9" x14ac:dyDescent="0.25">
      <c r="A1688" t="s">
        <v>122</v>
      </c>
      <c r="B1688" t="s">
        <v>191</v>
      </c>
      <c r="C1688" s="3">
        <v>50</v>
      </c>
      <c r="D1688" t="s">
        <v>2</v>
      </c>
      <c r="E1688">
        <v>542347</v>
      </c>
      <c r="F1688" t="s">
        <v>1562</v>
      </c>
      <c r="H1688" s="4">
        <v>45917</v>
      </c>
      <c r="I1688" t="s">
        <v>1965</v>
      </c>
    </row>
    <row r="1689" spans="1:9" x14ac:dyDescent="0.25">
      <c r="A1689" t="s">
        <v>228</v>
      </c>
      <c r="B1689" t="s">
        <v>191</v>
      </c>
      <c r="C1689" s="3">
        <v>50</v>
      </c>
      <c r="D1689" t="s">
        <v>2</v>
      </c>
      <c r="E1689">
        <v>542348</v>
      </c>
      <c r="F1689" t="s">
        <v>1562</v>
      </c>
      <c r="H1689" s="4">
        <v>45917</v>
      </c>
      <c r="I1689" t="s">
        <v>1965</v>
      </c>
    </row>
    <row r="1690" spans="1:9" x14ac:dyDescent="0.25">
      <c r="A1690" t="s">
        <v>227</v>
      </c>
      <c r="B1690" t="s">
        <v>191</v>
      </c>
      <c r="C1690" s="3">
        <v>50</v>
      </c>
      <c r="D1690" t="s">
        <v>2</v>
      </c>
      <c r="E1690">
        <v>542349</v>
      </c>
      <c r="F1690" t="s">
        <v>1562</v>
      </c>
      <c r="H1690" s="4">
        <v>45917</v>
      </c>
      <c r="I1690" t="s">
        <v>1965</v>
      </c>
    </row>
    <row r="1691" spans="1:9" x14ac:dyDescent="0.25">
      <c r="A1691" t="s">
        <v>226</v>
      </c>
      <c r="B1691" t="s">
        <v>191</v>
      </c>
      <c r="C1691" s="3">
        <v>50</v>
      </c>
      <c r="D1691" t="s">
        <v>2</v>
      </c>
      <c r="E1691">
        <v>542350</v>
      </c>
      <c r="F1691" t="s">
        <v>1562</v>
      </c>
      <c r="H1691" s="4">
        <v>45917</v>
      </c>
      <c r="I1691" t="s">
        <v>1965</v>
      </c>
    </row>
    <row r="1692" spans="1:9" x14ac:dyDescent="0.25">
      <c r="A1692" t="s">
        <v>225</v>
      </c>
      <c r="B1692" t="s">
        <v>191</v>
      </c>
      <c r="C1692" s="3">
        <v>200</v>
      </c>
      <c r="D1692" t="s">
        <v>2</v>
      </c>
      <c r="E1692">
        <v>542351</v>
      </c>
      <c r="F1692" t="s">
        <v>1562</v>
      </c>
      <c r="H1692" s="4">
        <v>45917</v>
      </c>
      <c r="I1692" t="s">
        <v>1965</v>
      </c>
    </row>
    <row r="1693" spans="1:9" x14ac:dyDescent="0.25">
      <c r="A1693" t="s">
        <v>224</v>
      </c>
      <c r="B1693" t="s">
        <v>191</v>
      </c>
      <c r="C1693" s="3">
        <v>50</v>
      </c>
      <c r="D1693" t="s">
        <v>2</v>
      </c>
      <c r="E1693">
        <v>542352</v>
      </c>
      <c r="F1693" t="s">
        <v>1562</v>
      </c>
      <c r="H1693" s="4">
        <v>45917</v>
      </c>
      <c r="I1693" t="s">
        <v>1965</v>
      </c>
    </row>
    <row r="1694" spans="1:9" x14ac:dyDescent="0.25">
      <c r="A1694" t="s">
        <v>223</v>
      </c>
      <c r="B1694" t="s">
        <v>191</v>
      </c>
      <c r="C1694" s="3">
        <v>200</v>
      </c>
      <c r="D1694" t="s">
        <v>2</v>
      </c>
      <c r="E1694">
        <v>542353</v>
      </c>
      <c r="F1694" t="s">
        <v>1562</v>
      </c>
      <c r="H1694" s="4">
        <v>45917</v>
      </c>
      <c r="I1694" t="s">
        <v>1965</v>
      </c>
    </row>
    <row r="1695" spans="1:9" x14ac:dyDescent="0.25">
      <c r="A1695" t="s">
        <v>222</v>
      </c>
      <c r="B1695" t="s">
        <v>191</v>
      </c>
      <c r="C1695" s="3">
        <v>50</v>
      </c>
      <c r="D1695" t="s">
        <v>2</v>
      </c>
      <c r="E1695">
        <v>542354</v>
      </c>
      <c r="F1695" t="s">
        <v>1562</v>
      </c>
      <c r="H1695" s="4">
        <v>45917</v>
      </c>
      <c r="I1695" t="s">
        <v>1965</v>
      </c>
    </row>
    <row r="1696" spans="1:9" x14ac:dyDescent="0.25">
      <c r="A1696" t="s">
        <v>14</v>
      </c>
      <c r="B1696" t="s">
        <v>191</v>
      </c>
      <c r="C1696" s="3">
        <v>50</v>
      </c>
      <c r="D1696" t="s">
        <v>2</v>
      </c>
      <c r="E1696">
        <v>542355</v>
      </c>
      <c r="F1696" t="s">
        <v>1562</v>
      </c>
      <c r="G1696" t="s">
        <v>1900</v>
      </c>
      <c r="H1696" s="4">
        <v>45917</v>
      </c>
      <c r="I1696" t="s">
        <v>1965</v>
      </c>
    </row>
    <row r="1697" spans="1:9" x14ac:dyDescent="0.25">
      <c r="A1697" t="s">
        <v>221</v>
      </c>
      <c r="B1697" t="s">
        <v>191</v>
      </c>
      <c r="C1697" s="3">
        <v>20</v>
      </c>
      <c r="D1697" t="s">
        <v>2</v>
      </c>
      <c r="E1697">
        <v>542356</v>
      </c>
      <c r="F1697" t="s">
        <v>1562</v>
      </c>
      <c r="H1697" s="4">
        <v>45917</v>
      </c>
      <c r="I1697" t="s">
        <v>1965</v>
      </c>
    </row>
    <row r="1698" spans="1:9" x14ac:dyDescent="0.25">
      <c r="A1698" t="s">
        <v>196</v>
      </c>
      <c r="B1698" t="s">
        <v>191</v>
      </c>
      <c r="C1698" s="3">
        <v>50</v>
      </c>
      <c r="D1698" t="s">
        <v>2</v>
      </c>
      <c r="E1698">
        <v>542357</v>
      </c>
      <c r="F1698" t="s">
        <v>1562</v>
      </c>
      <c r="H1698" s="4">
        <v>45917</v>
      </c>
      <c r="I1698" t="s">
        <v>1965</v>
      </c>
    </row>
    <row r="1699" spans="1:9" x14ac:dyDescent="0.25">
      <c r="A1699" t="s">
        <v>220</v>
      </c>
      <c r="B1699" t="s">
        <v>191</v>
      </c>
      <c r="C1699" s="3">
        <v>50</v>
      </c>
      <c r="D1699" t="s">
        <v>2</v>
      </c>
      <c r="E1699">
        <v>542358</v>
      </c>
      <c r="F1699" t="s">
        <v>1562</v>
      </c>
      <c r="H1699" s="4">
        <v>45917</v>
      </c>
      <c r="I1699" t="s">
        <v>1965</v>
      </c>
    </row>
    <row r="1700" spans="1:9" x14ac:dyDescent="0.25">
      <c r="A1700" t="s">
        <v>219</v>
      </c>
      <c r="B1700" t="s">
        <v>191</v>
      </c>
      <c r="C1700" s="3">
        <v>50</v>
      </c>
      <c r="D1700" t="s">
        <v>2</v>
      </c>
      <c r="E1700">
        <v>542359</v>
      </c>
      <c r="F1700" t="s">
        <v>1562</v>
      </c>
      <c r="H1700" s="4">
        <v>45917</v>
      </c>
      <c r="I1700" t="s">
        <v>1965</v>
      </c>
    </row>
    <row r="1701" spans="1:9" x14ac:dyDescent="0.25">
      <c r="A1701" t="s">
        <v>218</v>
      </c>
      <c r="B1701" t="s">
        <v>191</v>
      </c>
      <c r="C1701" s="3">
        <v>100</v>
      </c>
      <c r="D1701" t="s">
        <v>2</v>
      </c>
      <c r="E1701">
        <v>542360</v>
      </c>
      <c r="F1701" t="s">
        <v>1562</v>
      </c>
      <c r="H1701" s="4">
        <v>45917</v>
      </c>
      <c r="I1701" t="s">
        <v>1965</v>
      </c>
    </row>
    <row r="1702" spans="1:9" x14ac:dyDescent="0.25">
      <c r="A1702" t="s">
        <v>217</v>
      </c>
      <c r="B1702" t="s">
        <v>191</v>
      </c>
      <c r="C1702" s="3">
        <v>20</v>
      </c>
      <c r="D1702" t="s">
        <v>2</v>
      </c>
      <c r="E1702">
        <v>542361</v>
      </c>
      <c r="F1702" t="s">
        <v>1562</v>
      </c>
      <c r="H1702" s="4">
        <v>45917</v>
      </c>
      <c r="I1702" t="s">
        <v>1965</v>
      </c>
    </row>
    <row r="1703" spans="1:9" x14ac:dyDescent="0.25">
      <c r="A1703" t="s">
        <v>14</v>
      </c>
      <c r="B1703" t="s">
        <v>191</v>
      </c>
      <c r="C1703" s="3">
        <v>20</v>
      </c>
      <c r="D1703" t="s">
        <v>2</v>
      </c>
      <c r="E1703">
        <v>542362</v>
      </c>
      <c r="F1703" t="s">
        <v>1562</v>
      </c>
      <c r="G1703" t="s">
        <v>1901</v>
      </c>
      <c r="H1703" s="4">
        <v>45917</v>
      </c>
      <c r="I1703" t="s">
        <v>1965</v>
      </c>
    </row>
    <row r="1704" spans="1:9" x14ac:dyDescent="0.25">
      <c r="A1704" t="s">
        <v>14</v>
      </c>
      <c r="B1704" t="s">
        <v>191</v>
      </c>
      <c r="C1704" s="3">
        <v>135</v>
      </c>
      <c r="D1704" t="s">
        <v>2</v>
      </c>
      <c r="E1704">
        <v>542363</v>
      </c>
      <c r="F1704" t="s">
        <v>1562</v>
      </c>
      <c r="G1704" t="s">
        <v>1902</v>
      </c>
      <c r="H1704" s="4">
        <v>45917</v>
      </c>
      <c r="I1704" t="s">
        <v>1965</v>
      </c>
    </row>
    <row r="1705" spans="1:9" x14ac:dyDescent="0.25">
      <c r="A1705" t="s">
        <v>216</v>
      </c>
      <c r="B1705" t="s">
        <v>191</v>
      </c>
      <c r="C1705" s="3">
        <v>50</v>
      </c>
      <c r="D1705" t="s">
        <v>2</v>
      </c>
      <c r="E1705">
        <v>542364</v>
      </c>
      <c r="F1705" t="s">
        <v>1562</v>
      </c>
      <c r="H1705" s="4">
        <v>45917</v>
      </c>
      <c r="I1705" t="s">
        <v>1965</v>
      </c>
    </row>
    <row r="1706" spans="1:9" x14ac:dyDescent="0.25">
      <c r="A1706" t="s">
        <v>215</v>
      </c>
      <c r="B1706" t="s">
        <v>191</v>
      </c>
      <c r="C1706" s="3">
        <v>50</v>
      </c>
      <c r="D1706" t="s">
        <v>2</v>
      </c>
      <c r="E1706">
        <v>542365</v>
      </c>
      <c r="F1706" t="s">
        <v>1562</v>
      </c>
      <c r="H1706" s="4">
        <v>45917</v>
      </c>
      <c r="I1706" t="s">
        <v>1965</v>
      </c>
    </row>
    <row r="1707" spans="1:9" x14ac:dyDescent="0.25">
      <c r="A1707" t="s">
        <v>214</v>
      </c>
      <c r="B1707" t="s">
        <v>191</v>
      </c>
      <c r="C1707" s="3">
        <v>60</v>
      </c>
      <c r="D1707" t="s">
        <v>2</v>
      </c>
      <c r="E1707">
        <v>542366</v>
      </c>
      <c r="F1707" t="s">
        <v>1562</v>
      </c>
      <c r="H1707" s="4">
        <v>45917</v>
      </c>
      <c r="I1707" t="s">
        <v>1965</v>
      </c>
    </row>
    <row r="1708" spans="1:9" x14ac:dyDescent="0.25">
      <c r="A1708" t="s">
        <v>14</v>
      </c>
      <c r="B1708" t="s">
        <v>191</v>
      </c>
      <c r="C1708" s="3">
        <v>25</v>
      </c>
      <c r="D1708" t="s">
        <v>2</v>
      </c>
      <c r="E1708">
        <v>542367</v>
      </c>
      <c r="F1708" t="s">
        <v>1562</v>
      </c>
      <c r="G1708" t="s">
        <v>1903</v>
      </c>
      <c r="H1708" s="4">
        <v>45917</v>
      </c>
      <c r="I1708" t="s">
        <v>1965</v>
      </c>
    </row>
    <row r="1709" spans="1:9" x14ac:dyDescent="0.25">
      <c r="A1709" t="s">
        <v>14</v>
      </c>
      <c r="B1709" t="s">
        <v>191</v>
      </c>
      <c r="C1709" s="3">
        <v>50</v>
      </c>
      <c r="D1709" t="s">
        <v>2</v>
      </c>
      <c r="E1709">
        <v>542368</v>
      </c>
      <c r="F1709" t="s">
        <v>1562</v>
      </c>
      <c r="G1709" t="s">
        <v>1904</v>
      </c>
      <c r="H1709" s="4">
        <v>45917</v>
      </c>
      <c r="I1709" t="s">
        <v>1965</v>
      </c>
    </row>
    <row r="1710" spans="1:9" x14ac:dyDescent="0.25">
      <c r="A1710" t="s">
        <v>14</v>
      </c>
      <c r="B1710" t="s">
        <v>191</v>
      </c>
      <c r="C1710" s="3">
        <v>100</v>
      </c>
      <c r="D1710" t="s">
        <v>2</v>
      </c>
      <c r="E1710">
        <v>542369</v>
      </c>
      <c r="F1710" t="s">
        <v>1562</v>
      </c>
      <c r="G1710" t="s">
        <v>1905</v>
      </c>
      <c r="H1710" s="4">
        <v>45917</v>
      </c>
      <c r="I1710" t="s">
        <v>1965</v>
      </c>
    </row>
    <row r="1711" spans="1:9" x14ac:dyDescent="0.25">
      <c r="A1711" t="s">
        <v>213</v>
      </c>
      <c r="B1711" t="s">
        <v>191</v>
      </c>
      <c r="C1711" s="3">
        <v>20</v>
      </c>
      <c r="D1711" t="s">
        <v>2</v>
      </c>
      <c r="E1711">
        <v>542370</v>
      </c>
      <c r="F1711" t="s">
        <v>1562</v>
      </c>
      <c r="H1711" s="4">
        <v>45917</v>
      </c>
      <c r="I1711" t="s">
        <v>1965</v>
      </c>
    </row>
    <row r="1712" spans="1:9" x14ac:dyDescent="0.25">
      <c r="A1712" t="s">
        <v>212</v>
      </c>
      <c r="B1712" t="s">
        <v>191</v>
      </c>
      <c r="C1712" s="3">
        <v>140</v>
      </c>
      <c r="D1712" t="s">
        <v>2</v>
      </c>
      <c r="E1712">
        <v>542371</v>
      </c>
      <c r="F1712" t="s">
        <v>1562</v>
      </c>
      <c r="H1712" s="4">
        <v>45917</v>
      </c>
      <c r="I1712" t="s">
        <v>1965</v>
      </c>
    </row>
    <row r="1713" spans="1:9" x14ac:dyDescent="0.25">
      <c r="A1713" t="s">
        <v>14</v>
      </c>
      <c r="B1713" t="s">
        <v>191</v>
      </c>
      <c r="C1713" s="3">
        <v>100</v>
      </c>
      <c r="D1713" t="s">
        <v>2</v>
      </c>
      <c r="E1713">
        <v>542372</v>
      </c>
      <c r="F1713" t="s">
        <v>1562</v>
      </c>
      <c r="G1713" t="s">
        <v>1906</v>
      </c>
      <c r="H1713" s="4">
        <v>45917</v>
      </c>
      <c r="I1713" t="s">
        <v>1965</v>
      </c>
    </row>
    <row r="1714" spans="1:9" x14ac:dyDescent="0.25">
      <c r="A1714" t="s">
        <v>193</v>
      </c>
      <c r="B1714" t="s">
        <v>191</v>
      </c>
      <c r="C1714" s="3">
        <v>100</v>
      </c>
      <c r="D1714" t="s">
        <v>2</v>
      </c>
      <c r="E1714">
        <v>542373</v>
      </c>
      <c r="F1714" t="s">
        <v>1562</v>
      </c>
      <c r="H1714" s="4">
        <v>45917</v>
      </c>
      <c r="I1714" t="s">
        <v>1965</v>
      </c>
    </row>
    <row r="1715" spans="1:9" x14ac:dyDescent="0.25">
      <c r="A1715" t="s">
        <v>211</v>
      </c>
      <c r="B1715" t="s">
        <v>191</v>
      </c>
      <c r="C1715" s="3">
        <v>370</v>
      </c>
      <c r="D1715" t="s">
        <v>2</v>
      </c>
      <c r="E1715">
        <v>542374</v>
      </c>
      <c r="F1715" t="s">
        <v>1562</v>
      </c>
      <c r="G1715" t="s">
        <v>1907</v>
      </c>
      <c r="H1715" s="4">
        <v>45917</v>
      </c>
      <c r="I1715" t="s">
        <v>1965</v>
      </c>
    </row>
    <row r="1716" spans="1:9" x14ac:dyDescent="0.25">
      <c r="A1716" t="s">
        <v>210</v>
      </c>
      <c r="B1716" t="s">
        <v>191</v>
      </c>
      <c r="C1716" s="3">
        <v>70</v>
      </c>
      <c r="D1716" t="s">
        <v>2</v>
      </c>
      <c r="E1716">
        <v>542375</v>
      </c>
      <c r="F1716" t="s">
        <v>1562</v>
      </c>
      <c r="H1716" s="4">
        <v>45917</v>
      </c>
      <c r="I1716" t="s">
        <v>1965</v>
      </c>
    </row>
    <row r="1717" spans="1:9" x14ac:dyDescent="0.25">
      <c r="A1717" t="s">
        <v>209</v>
      </c>
      <c r="B1717" t="s">
        <v>191</v>
      </c>
      <c r="C1717" s="3">
        <v>70</v>
      </c>
      <c r="D1717" t="s">
        <v>2</v>
      </c>
      <c r="E1717">
        <v>542376</v>
      </c>
      <c r="F1717" t="s">
        <v>1562</v>
      </c>
      <c r="H1717" s="4">
        <v>45917</v>
      </c>
      <c r="I1717" t="s">
        <v>1965</v>
      </c>
    </row>
    <row r="1718" spans="1:9" x14ac:dyDescent="0.25">
      <c r="A1718" t="s">
        <v>208</v>
      </c>
      <c r="B1718" t="s">
        <v>191</v>
      </c>
      <c r="C1718" s="3">
        <v>140</v>
      </c>
      <c r="D1718" t="s">
        <v>2</v>
      </c>
      <c r="E1718">
        <v>542377</v>
      </c>
      <c r="F1718" t="s">
        <v>1562</v>
      </c>
      <c r="H1718" s="4">
        <v>45917</v>
      </c>
      <c r="I1718" t="s">
        <v>1965</v>
      </c>
    </row>
    <row r="1719" spans="1:9" x14ac:dyDescent="0.25">
      <c r="A1719" t="s">
        <v>207</v>
      </c>
      <c r="B1719" t="s">
        <v>191</v>
      </c>
      <c r="C1719" s="3">
        <v>100</v>
      </c>
      <c r="D1719" t="s">
        <v>2</v>
      </c>
      <c r="E1719">
        <v>542378</v>
      </c>
      <c r="F1719" t="s">
        <v>1562</v>
      </c>
      <c r="H1719" s="4">
        <v>45917</v>
      </c>
      <c r="I1719" t="s">
        <v>1965</v>
      </c>
    </row>
    <row r="1720" spans="1:9" x14ac:dyDescent="0.25">
      <c r="A1720" t="s">
        <v>203</v>
      </c>
      <c r="B1720" t="s">
        <v>191</v>
      </c>
      <c r="C1720" s="3">
        <v>100</v>
      </c>
      <c r="D1720" t="s">
        <v>2</v>
      </c>
      <c r="E1720">
        <v>542379</v>
      </c>
      <c r="F1720" t="s">
        <v>1562</v>
      </c>
      <c r="H1720" s="4">
        <v>45917</v>
      </c>
      <c r="I1720" t="s">
        <v>1965</v>
      </c>
    </row>
    <row r="1721" spans="1:9" x14ac:dyDescent="0.25">
      <c r="A1721" t="s">
        <v>206</v>
      </c>
      <c r="B1721" t="s">
        <v>191</v>
      </c>
      <c r="C1721" s="3">
        <v>100</v>
      </c>
      <c r="D1721" t="s">
        <v>2</v>
      </c>
      <c r="E1721">
        <v>542380</v>
      </c>
      <c r="F1721" t="s">
        <v>1562</v>
      </c>
      <c r="H1721" s="4">
        <v>45917</v>
      </c>
      <c r="I1721" t="s">
        <v>1965</v>
      </c>
    </row>
    <row r="1722" spans="1:9" x14ac:dyDescent="0.25">
      <c r="A1722" t="s">
        <v>205</v>
      </c>
      <c r="B1722" t="s">
        <v>191</v>
      </c>
      <c r="C1722" s="3">
        <v>40</v>
      </c>
      <c r="D1722" t="s">
        <v>2</v>
      </c>
      <c r="E1722">
        <v>542381</v>
      </c>
      <c r="F1722" t="s">
        <v>1562</v>
      </c>
      <c r="H1722" s="4">
        <v>45917</v>
      </c>
      <c r="I1722" t="s">
        <v>1965</v>
      </c>
    </row>
    <row r="1723" spans="1:9" x14ac:dyDescent="0.25">
      <c r="A1723" t="s">
        <v>204</v>
      </c>
      <c r="B1723" t="s">
        <v>191</v>
      </c>
      <c r="C1723" s="3">
        <v>50</v>
      </c>
      <c r="D1723" t="s">
        <v>2</v>
      </c>
      <c r="E1723">
        <v>542382</v>
      </c>
      <c r="F1723" t="s">
        <v>1562</v>
      </c>
      <c r="H1723" s="4">
        <v>45917</v>
      </c>
      <c r="I1723" t="s">
        <v>1965</v>
      </c>
    </row>
    <row r="1724" spans="1:9" x14ac:dyDescent="0.25">
      <c r="A1724" t="s">
        <v>203</v>
      </c>
      <c r="B1724" t="s">
        <v>191</v>
      </c>
      <c r="C1724" s="3">
        <v>30</v>
      </c>
      <c r="D1724" t="s">
        <v>2</v>
      </c>
      <c r="E1724">
        <v>542383</v>
      </c>
      <c r="F1724" t="s">
        <v>1562</v>
      </c>
      <c r="H1724" s="4">
        <v>45917</v>
      </c>
      <c r="I1724" t="s">
        <v>1965</v>
      </c>
    </row>
    <row r="1725" spans="1:9" x14ac:dyDescent="0.25">
      <c r="A1725" t="s">
        <v>202</v>
      </c>
      <c r="B1725" t="s">
        <v>191</v>
      </c>
      <c r="C1725" s="3">
        <v>500</v>
      </c>
      <c r="D1725" t="s">
        <v>2</v>
      </c>
      <c r="E1725">
        <v>542384</v>
      </c>
      <c r="F1725" t="s">
        <v>1562</v>
      </c>
      <c r="H1725" s="4">
        <v>45917</v>
      </c>
      <c r="I1725" t="s">
        <v>1965</v>
      </c>
    </row>
    <row r="1726" spans="1:9" x14ac:dyDescent="0.25">
      <c r="A1726" t="s">
        <v>197</v>
      </c>
      <c r="B1726" t="s">
        <v>191</v>
      </c>
      <c r="C1726" s="3">
        <v>60</v>
      </c>
      <c r="D1726" t="s">
        <v>2</v>
      </c>
      <c r="E1726">
        <v>542385</v>
      </c>
      <c r="F1726" t="s">
        <v>1562</v>
      </c>
      <c r="H1726" s="4">
        <v>45917</v>
      </c>
      <c r="I1726" t="s">
        <v>1965</v>
      </c>
    </row>
    <row r="1727" spans="1:9" x14ac:dyDescent="0.25">
      <c r="A1727" t="s">
        <v>197</v>
      </c>
      <c r="B1727" t="s">
        <v>191</v>
      </c>
      <c r="C1727" s="3">
        <v>530</v>
      </c>
      <c r="D1727" t="s">
        <v>2</v>
      </c>
      <c r="E1727">
        <v>542386</v>
      </c>
      <c r="F1727" t="s">
        <v>1562</v>
      </c>
      <c r="H1727" s="4">
        <v>45917</v>
      </c>
      <c r="I1727" t="s">
        <v>1965</v>
      </c>
    </row>
    <row r="1728" spans="1:9" x14ac:dyDescent="0.25">
      <c r="A1728" t="s">
        <v>194</v>
      </c>
      <c r="B1728" t="s">
        <v>191</v>
      </c>
      <c r="C1728" s="3">
        <v>760</v>
      </c>
      <c r="D1728" t="s">
        <v>2</v>
      </c>
      <c r="E1728">
        <v>542387</v>
      </c>
      <c r="F1728" t="s">
        <v>1562</v>
      </c>
      <c r="G1728" t="s">
        <v>1908</v>
      </c>
      <c r="H1728" s="4">
        <v>45917</v>
      </c>
      <c r="I1728" t="s">
        <v>1965</v>
      </c>
    </row>
    <row r="1729" spans="1:9" x14ac:dyDescent="0.25">
      <c r="A1729" t="s">
        <v>201</v>
      </c>
      <c r="B1729" t="s">
        <v>191</v>
      </c>
      <c r="C1729" s="3">
        <v>66.86</v>
      </c>
      <c r="D1729" t="s">
        <v>2</v>
      </c>
      <c r="E1729">
        <v>542446</v>
      </c>
      <c r="F1729" t="s">
        <v>1562</v>
      </c>
      <c r="G1729" t="s">
        <v>1898</v>
      </c>
      <c r="H1729" s="4">
        <v>45917</v>
      </c>
      <c r="I1729" t="s">
        <v>1965</v>
      </c>
    </row>
    <row r="1730" spans="1:9" x14ac:dyDescent="0.25">
      <c r="A1730" t="s">
        <v>119</v>
      </c>
      <c r="B1730" t="s">
        <v>127</v>
      </c>
      <c r="C1730" s="3">
        <v>50</v>
      </c>
      <c r="D1730" t="s">
        <v>2</v>
      </c>
      <c r="E1730">
        <v>541139</v>
      </c>
      <c r="F1730" t="s">
        <v>1562</v>
      </c>
      <c r="G1730" t="s">
        <v>1909</v>
      </c>
      <c r="H1730" s="4">
        <v>45874</v>
      </c>
      <c r="I1730" t="s">
        <v>1965</v>
      </c>
    </row>
    <row r="1731" spans="1:9" x14ac:dyDescent="0.25">
      <c r="A1731" t="s">
        <v>138</v>
      </c>
      <c r="B1731" t="s">
        <v>127</v>
      </c>
      <c r="C1731" s="3">
        <v>100</v>
      </c>
      <c r="D1731" t="s">
        <v>2</v>
      </c>
      <c r="E1731">
        <v>541140</v>
      </c>
      <c r="F1731" t="s">
        <v>1562</v>
      </c>
      <c r="G1731" t="s">
        <v>138</v>
      </c>
      <c r="H1731" s="4">
        <v>45874</v>
      </c>
      <c r="I1731" t="s">
        <v>1965</v>
      </c>
    </row>
    <row r="1732" spans="1:9" x14ac:dyDescent="0.25">
      <c r="A1732" t="s">
        <v>137</v>
      </c>
      <c r="B1732" t="s">
        <v>127</v>
      </c>
      <c r="C1732" s="3">
        <v>100</v>
      </c>
      <c r="D1732" t="s">
        <v>2</v>
      </c>
      <c r="E1732">
        <v>541141</v>
      </c>
      <c r="F1732" t="s">
        <v>1562</v>
      </c>
      <c r="G1732" t="s">
        <v>1909</v>
      </c>
      <c r="H1732" s="4">
        <v>45874</v>
      </c>
      <c r="I1732" t="s">
        <v>1965</v>
      </c>
    </row>
    <row r="1733" spans="1:9" x14ac:dyDescent="0.25">
      <c r="A1733" t="s">
        <v>136</v>
      </c>
      <c r="B1733" t="s">
        <v>127</v>
      </c>
      <c r="C1733" s="3">
        <v>100</v>
      </c>
      <c r="D1733" t="s">
        <v>2</v>
      </c>
      <c r="E1733">
        <v>541142</v>
      </c>
      <c r="F1733" t="s">
        <v>1562</v>
      </c>
      <c r="G1733" t="s">
        <v>1909</v>
      </c>
      <c r="H1733" s="4">
        <v>45874</v>
      </c>
      <c r="I1733" t="s">
        <v>1965</v>
      </c>
    </row>
    <row r="1734" spans="1:9" x14ac:dyDescent="0.25">
      <c r="A1734" t="s">
        <v>135</v>
      </c>
      <c r="B1734" t="s">
        <v>127</v>
      </c>
      <c r="C1734" s="3">
        <v>100</v>
      </c>
      <c r="D1734" t="s">
        <v>2</v>
      </c>
      <c r="E1734">
        <v>541118</v>
      </c>
      <c r="F1734" t="s">
        <v>1562</v>
      </c>
      <c r="G1734" t="s">
        <v>1909</v>
      </c>
      <c r="H1734" s="4">
        <v>45874</v>
      </c>
      <c r="I1734" t="s">
        <v>1965</v>
      </c>
    </row>
    <row r="1735" spans="1:9" x14ac:dyDescent="0.25">
      <c r="A1735" t="s">
        <v>134</v>
      </c>
      <c r="B1735" t="s">
        <v>127</v>
      </c>
      <c r="C1735" s="3">
        <v>100</v>
      </c>
      <c r="D1735" t="s">
        <v>2</v>
      </c>
      <c r="E1735">
        <v>541144</v>
      </c>
      <c r="F1735" t="s">
        <v>1562</v>
      </c>
      <c r="G1735" t="s">
        <v>1909</v>
      </c>
      <c r="H1735" s="4">
        <v>45877</v>
      </c>
      <c r="I1735" t="s">
        <v>1965</v>
      </c>
    </row>
    <row r="1736" spans="1:9" x14ac:dyDescent="0.25">
      <c r="A1736" t="s">
        <v>133</v>
      </c>
      <c r="B1736" t="s">
        <v>127</v>
      </c>
      <c r="C1736" s="3">
        <v>100</v>
      </c>
      <c r="D1736" t="s">
        <v>2</v>
      </c>
      <c r="E1736">
        <v>541145</v>
      </c>
      <c r="F1736" t="s">
        <v>1562</v>
      </c>
      <c r="G1736" t="s">
        <v>1909</v>
      </c>
      <c r="H1736" s="4">
        <v>45877</v>
      </c>
      <c r="I1736" t="s">
        <v>1965</v>
      </c>
    </row>
    <row r="1737" spans="1:9" x14ac:dyDescent="0.25">
      <c r="A1737" t="s">
        <v>132</v>
      </c>
      <c r="B1737" t="s">
        <v>127</v>
      </c>
      <c r="C1737" s="3">
        <v>25</v>
      </c>
      <c r="D1737" t="s">
        <v>2</v>
      </c>
      <c r="E1737">
        <v>541146</v>
      </c>
      <c r="F1737" t="s">
        <v>1562</v>
      </c>
      <c r="G1737" t="s">
        <v>1909</v>
      </c>
      <c r="H1737" s="4">
        <v>45877</v>
      </c>
      <c r="I1737" t="s">
        <v>1965</v>
      </c>
    </row>
    <row r="1738" spans="1:9" x14ac:dyDescent="0.25">
      <c r="A1738" t="s">
        <v>131</v>
      </c>
      <c r="B1738" t="s">
        <v>127</v>
      </c>
      <c r="C1738" s="3">
        <v>100</v>
      </c>
      <c r="D1738" t="s">
        <v>2</v>
      </c>
      <c r="E1738">
        <v>541147</v>
      </c>
      <c r="F1738" t="s">
        <v>1562</v>
      </c>
      <c r="G1738" t="s">
        <v>1909</v>
      </c>
      <c r="H1738" s="4">
        <v>45877</v>
      </c>
      <c r="I1738" t="s">
        <v>1965</v>
      </c>
    </row>
    <row r="1739" spans="1:9" x14ac:dyDescent="0.25">
      <c r="A1739" t="s">
        <v>130</v>
      </c>
      <c r="B1739" t="s">
        <v>127</v>
      </c>
      <c r="C1739" s="3">
        <v>50</v>
      </c>
      <c r="D1739" t="s">
        <v>2</v>
      </c>
      <c r="E1739">
        <v>541148</v>
      </c>
      <c r="F1739" t="s">
        <v>1562</v>
      </c>
      <c r="G1739" t="s">
        <v>1909</v>
      </c>
      <c r="H1739" s="4">
        <v>45877</v>
      </c>
      <c r="I1739" t="s">
        <v>1965</v>
      </c>
    </row>
    <row r="1740" spans="1:9" x14ac:dyDescent="0.25">
      <c r="A1740" t="s">
        <v>129</v>
      </c>
      <c r="B1740" t="s">
        <v>127</v>
      </c>
      <c r="C1740" s="3">
        <v>25</v>
      </c>
      <c r="D1740" t="s">
        <v>2</v>
      </c>
      <c r="E1740">
        <v>541149</v>
      </c>
      <c r="F1740" t="s">
        <v>1562</v>
      </c>
      <c r="G1740" t="s">
        <v>1909</v>
      </c>
      <c r="H1740" s="4">
        <v>45877</v>
      </c>
      <c r="I1740" t="s">
        <v>1965</v>
      </c>
    </row>
    <row r="1741" spans="1:9" x14ac:dyDescent="0.25">
      <c r="A1741" t="s">
        <v>128</v>
      </c>
      <c r="B1741" t="s">
        <v>127</v>
      </c>
      <c r="C1741" s="3">
        <v>25</v>
      </c>
      <c r="D1741" t="s">
        <v>2</v>
      </c>
      <c r="E1741">
        <v>541150</v>
      </c>
      <c r="F1741" t="s">
        <v>1562</v>
      </c>
      <c r="G1741" t="s">
        <v>1909</v>
      </c>
      <c r="H1741" s="4">
        <v>45877</v>
      </c>
      <c r="I1741" t="s">
        <v>1965</v>
      </c>
    </row>
    <row r="1742" spans="1:9" x14ac:dyDescent="0.25">
      <c r="A1742" t="s">
        <v>141</v>
      </c>
      <c r="B1742" t="s">
        <v>127</v>
      </c>
      <c r="C1742" s="3">
        <v>50</v>
      </c>
      <c r="D1742" t="s">
        <v>2</v>
      </c>
      <c r="E1742">
        <v>541193</v>
      </c>
      <c r="F1742" t="s">
        <v>1562</v>
      </c>
      <c r="G1742" t="s">
        <v>1909</v>
      </c>
      <c r="H1742" s="4">
        <v>45880</v>
      </c>
      <c r="I1742" t="s">
        <v>1965</v>
      </c>
    </row>
    <row r="1743" spans="1:9" x14ac:dyDescent="0.25">
      <c r="A1743" t="s">
        <v>140</v>
      </c>
      <c r="B1743" t="s">
        <v>127</v>
      </c>
      <c r="C1743" s="3">
        <v>25</v>
      </c>
      <c r="D1743" t="s">
        <v>2</v>
      </c>
      <c r="E1743">
        <v>541194</v>
      </c>
      <c r="F1743" t="s">
        <v>1562</v>
      </c>
      <c r="G1743" t="s">
        <v>1909</v>
      </c>
      <c r="H1743" s="4">
        <v>45880</v>
      </c>
      <c r="I1743" t="s">
        <v>1965</v>
      </c>
    </row>
    <row r="1744" spans="1:9" x14ac:dyDescent="0.25">
      <c r="A1744" t="s">
        <v>139</v>
      </c>
      <c r="B1744" t="s">
        <v>127</v>
      </c>
      <c r="C1744" s="3">
        <v>100</v>
      </c>
      <c r="D1744" t="s">
        <v>2</v>
      </c>
      <c r="E1744">
        <v>541195</v>
      </c>
      <c r="F1744" t="s">
        <v>1562</v>
      </c>
      <c r="G1744" t="s">
        <v>1909</v>
      </c>
      <c r="H1744" s="4">
        <v>45880</v>
      </c>
      <c r="I1744" t="s">
        <v>1965</v>
      </c>
    </row>
    <row r="1745" spans="1:9" x14ac:dyDescent="0.25">
      <c r="A1745" t="s">
        <v>152</v>
      </c>
      <c r="B1745" t="s">
        <v>127</v>
      </c>
      <c r="C1745" s="3">
        <v>50</v>
      </c>
      <c r="D1745" t="s">
        <v>2</v>
      </c>
      <c r="E1745">
        <v>541265</v>
      </c>
      <c r="F1745" t="s">
        <v>1562</v>
      </c>
      <c r="H1745" s="4">
        <v>45882</v>
      </c>
      <c r="I1745" t="s">
        <v>1965</v>
      </c>
    </row>
    <row r="1746" spans="1:9" x14ac:dyDescent="0.25">
      <c r="A1746" t="s">
        <v>151</v>
      </c>
      <c r="B1746" t="s">
        <v>127</v>
      </c>
      <c r="C1746" s="3">
        <v>50</v>
      </c>
      <c r="D1746" t="s">
        <v>2</v>
      </c>
      <c r="E1746">
        <v>541266</v>
      </c>
      <c r="F1746" t="s">
        <v>1562</v>
      </c>
      <c r="H1746" s="4">
        <v>45882</v>
      </c>
      <c r="I1746" t="s">
        <v>1965</v>
      </c>
    </row>
    <row r="1747" spans="1:9" x14ac:dyDescent="0.25">
      <c r="A1747" t="s">
        <v>150</v>
      </c>
      <c r="B1747" t="s">
        <v>127</v>
      </c>
      <c r="C1747" s="3">
        <v>25</v>
      </c>
      <c r="D1747" t="s">
        <v>2</v>
      </c>
      <c r="E1747">
        <v>541267</v>
      </c>
      <c r="F1747" t="s">
        <v>1562</v>
      </c>
      <c r="H1747" s="4">
        <v>45882</v>
      </c>
      <c r="I1747" t="s">
        <v>1965</v>
      </c>
    </row>
    <row r="1748" spans="1:9" x14ac:dyDescent="0.25">
      <c r="A1748" t="s">
        <v>145</v>
      </c>
      <c r="B1748" t="s">
        <v>127</v>
      </c>
      <c r="C1748" s="3">
        <v>100</v>
      </c>
      <c r="D1748" t="s">
        <v>2</v>
      </c>
      <c r="E1748">
        <v>541272</v>
      </c>
      <c r="F1748" t="s">
        <v>1562</v>
      </c>
      <c r="G1748" t="s">
        <v>1910</v>
      </c>
      <c r="H1748" s="4">
        <v>45884</v>
      </c>
      <c r="I1748" t="s">
        <v>1965</v>
      </c>
    </row>
    <row r="1749" spans="1:9" x14ac:dyDescent="0.25">
      <c r="A1749" t="s">
        <v>144</v>
      </c>
      <c r="B1749" t="s">
        <v>127</v>
      </c>
      <c r="C1749" s="3">
        <v>50</v>
      </c>
      <c r="D1749" t="s">
        <v>2</v>
      </c>
      <c r="E1749">
        <v>541273</v>
      </c>
      <c r="F1749" t="s">
        <v>1562</v>
      </c>
      <c r="G1749" t="s">
        <v>1910</v>
      </c>
      <c r="H1749" s="4">
        <v>45884</v>
      </c>
      <c r="I1749" t="s">
        <v>1965</v>
      </c>
    </row>
    <row r="1750" spans="1:9" x14ac:dyDescent="0.25">
      <c r="A1750" t="s">
        <v>143</v>
      </c>
      <c r="B1750" t="s">
        <v>127</v>
      </c>
      <c r="C1750" s="3">
        <v>100</v>
      </c>
      <c r="D1750" t="s">
        <v>2</v>
      </c>
      <c r="E1750">
        <v>541274</v>
      </c>
      <c r="F1750" t="s">
        <v>1562</v>
      </c>
      <c r="G1750" t="s">
        <v>1910</v>
      </c>
      <c r="H1750" s="4">
        <v>45884</v>
      </c>
      <c r="I1750" t="s">
        <v>1965</v>
      </c>
    </row>
    <row r="1751" spans="1:9" x14ac:dyDescent="0.25">
      <c r="A1751" t="s">
        <v>142</v>
      </c>
      <c r="B1751" t="s">
        <v>127</v>
      </c>
      <c r="C1751" s="3">
        <v>100</v>
      </c>
      <c r="D1751" t="s">
        <v>2</v>
      </c>
      <c r="E1751">
        <v>541275</v>
      </c>
      <c r="F1751" t="s">
        <v>1562</v>
      </c>
      <c r="G1751" t="s">
        <v>1911</v>
      </c>
      <c r="H1751" s="4">
        <v>45884</v>
      </c>
      <c r="I1751" t="s">
        <v>1965</v>
      </c>
    </row>
    <row r="1752" spans="1:9" x14ac:dyDescent="0.25">
      <c r="A1752" t="s">
        <v>149</v>
      </c>
      <c r="B1752" t="s">
        <v>127</v>
      </c>
      <c r="C1752" s="3">
        <v>300</v>
      </c>
      <c r="D1752" t="s">
        <v>2</v>
      </c>
      <c r="E1752">
        <v>541252</v>
      </c>
      <c r="F1752" t="s">
        <v>1562</v>
      </c>
      <c r="H1752" s="4">
        <v>45887</v>
      </c>
      <c r="I1752" t="s">
        <v>1965</v>
      </c>
    </row>
    <row r="1753" spans="1:9" x14ac:dyDescent="0.25">
      <c r="A1753" t="s">
        <v>148</v>
      </c>
      <c r="B1753" t="s">
        <v>127</v>
      </c>
      <c r="C1753" s="3">
        <v>50</v>
      </c>
      <c r="D1753" t="s">
        <v>2</v>
      </c>
      <c r="E1753">
        <v>541253</v>
      </c>
      <c r="F1753" t="s">
        <v>1562</v>
      </c>
      <c r="H1753" s="4">
        <v>45887</v>
      </c>
      <c r="I1753" t="s">
        <v>1965</v>
      </c>
    </row>
    <row r="1754" spans="1:9" x14ac:dyDescent="0.25">
      <c r="A1754" t="s">
        <v>147</v>
      </c>
      <c r="B1754" t="s">
        <v>127</v>
      </c>
      <c r="C1754" s="3">
        <v>140</v>
      </c>
      <c r="D1754" t="s">
        <v>2</v>
      </c>
      <c r="E1754">
        <v>541254</v>
      </c>
      <c r="F1754" t="s">
        <v>1562</v>
      </c>
      <c r="G1754" t="s">
        <v>1913</v>
      </c>
      <c r="H1754" s="4">
        <v>45887</v>
      </c>
      <c r="I1754" t="s">
        <v>1965</v>
      </c>
    </row>
    <row r="1755" spans="1:9" x14ac:dyDescent="0.25">
      <c r="A1755" t="s">
        <v>146</v>
      </c>
      <c r="B1755" t="s">
        <v>127</v>
      </c>
      <c r="C1755" s="3">
        <v>2697.7</v>
      </c>
      <c r="D1755" t="s">
        <v>2</v>
      </c>
      <c r="E1755">
        <v>541255</v>
      </c>
      <c r="F1755" t="s">
        <v>1562</v>
      </c>
      <c r="H1755" s="4">
        <v>45887</v>
      </c>
      <c r="I1755" t="s">
        <v>1965</v>
      </c>
    </row>
    <row r="1756" spans="1:9" x14ac:dyDescent="0.25">
      <c r="A1756" t="s">
        <v>155</v>
      </c>
      <c r="B1756" t="s">
        <v>127</v>
      </c>
      <c r="C1756" s="3">
        <v>100</v>
      </c>
      <c r="D1756" t="s">
        <v>2</v>
      </c>
      <c r="E1756">
        <v>541278</v>
      </c>
      <c r="F1756" t="s">
        <v>1562</v>
      </c>
      <c r="G1756" t="s">
        <v>1910</v>
      </c>
      <c r="H1756" s="4">
        <v>45887</v>
      </c>
      <c r="I1756" t="s">
        <v>1965</v>
      </c>
    </row>
    <row r="1757" spans="1:9" x14ac:dyDescent="0.25">
      <c r="A1757" t="s">
        <v>154</v>
      </c>
      <c r="B1757" t="s">
        <v>127</v>
      </c>
      <c r="C1757" s="3">
        <v>100</v>
      </c>
      <c r="D1757" t="s">
        <v>2</v>
      </c>
      <c r="E1757">
        <v>541279</v>
      </c>
      <c r="F1757" t="s">
        <v>1562</v>
      </c>
      <c r="G1757" t="s">
        <v>1910</v>
      </c>
      <c r="H1757" s="4">
        <v>45887</v>
      </c>
      <c r="I1757" t="s">
        <v>1965</v>
      </c>
    </row>
    <row r="1758" spans="1:9" x14ac:dyDescent="0.25">
      <c r="A1758" t="s">
        <v>153</v>
      </c>
      <c r="B1758" t="s">
        <v>127</v>
      </c>
      <c r="C1758" s="3">
        <v>100</v>
      </c>
      <c r="D1758" t="s">
        <v>2</v>
      </c>
      <c r="E1758">
        <v>541280</v>
      </c>
      <c r="F1758" t="s">
        <v>1562</v>
      </c>
      <c r="G1758" t="s">
        <v>1912</v>
      </c>
      <c r="H1758" s="4">
        <v>45887</v>
      </c>
      <c r="I1758" t="s">
        <v>1965</v>
      </c>
    </row>
    <row r="1759" spans="1:9" x14ac:dyDescent="0.25">
      <c r="A1759" t="s">
        <v>178</v>
      </c>
      <c r="B1759" t="s">
        <v>127</v>
      </c>
      <c r="C1759" s="3">
        <v>75</v>
      </c>
      <c r="D1759" t="s">
        <v>2</v>
      </c>
      <c r="E1759">
        <v>541404</v>
      </c>
      <c r="F1759" t="s">
        <v>1562</v>
      </c>
      <c r="G1759" t="s">
        <v>1911</v>
      </c>
      <c r="H1759" s="4">
        <v>45888</v>
      </c>
      <c r="I1759" t="s">
        <v>1965</v>
      </c>
    </row>
    <row r="1760" spans="1:9" x14ac:dyDescent="0.25">
      <c r="A1760" t="s">
        <v>177</v>
      </c>
      <c r="B1760" t="s">
        <v>127</v>
      </c>
      <c r="C1760" s="3">
        <v>25</v>
      </c>
      <c r="D1760" t="s">
        <v>2</v>
      </c>
      <c r="E1760">
        <v>541405</v>
      </c>
      <c r="F1760" t="s">
        <v>1562</v>
      </c>
      <c r="G1760" t="s">
        <v>1914</v>
      </c>
      <c r="H1760" s="4">
        <v>45888</v>
      </c>
      <c r="I1760" t="s">
        <v>1965</v>
      </c>
    </row>
    <row r="1761" spans="1:9" x14ac:dyDescent="0.25">
      <c r="A1761" t="s">
        <v>176</v>
      </c>
      <c r="B1761" t="s">
        <v>127</v>
      </c>
      <c r="C1761" s="3">
        <v>200</v>
      </c>
      <c r="D1761" t="s">
        <v>2</v>
      </c>
      <c r="E1761">
        <v>541406</v>
      </c>
      <c r="F1761" t="s">
        <v>1562</v>
      </c>
      <c r="G1761" t="s">
        <v>1911</v>
      </c>
      <c r="H1761" s="4">
        <v>45888</v>
      </c>
      <c r="I1761" t="s">
        <v>1965</v>
      </c>
    </row>
    <row r="1762" spans="1:9" x14ac:dyDescent="0.25">
      <c r="A1762" t="s">
        <v>175</v>
      </c>
      <c r="B1762" t="s">
        <v>127</v>
      </c>
      <c r="C1762" s="3">
        <v>20</v>
      </c>
      <c r="D1762" t="s">
        <v>2</v>
      </c>
      <c r="E1762">
        <v>541407</v>
      </c>
      <c r="F1762" t="s">
        <v>1562</v>
      </c>
      <c r="G1762" t="s">
        <v>1915</v>
      </c>
      <c r="H1762" s="4">
        <v>45888</v>
      </c>
      <c r="I1762" t="s">
        <v>1965</v>
      </c>
    </row>
    <row r="1763" spans="1:9" x14ac:dyDescent="0.25">
      <c r="A1763" t="s">
        <v>156</v>
      </c>
      <c r="B1763" t="s">
        <v>127</v>
      </c>
      <c r="C1763" s="3">
        <v>200</v>
      </c>
      <c r="D1763" t="s">
        <v>2</v>
      </c>
      <c r="E1763">
        <v>541297</v>
      </c>
      <c r="F1763" t="s">
        <v>1562</v>
      </c>
      <c r="G1763" t="s">
        <v>1909</v>
      </c>
      <c r="H1763" s="4">
        <v>45889</v>
      </c>
      <c r="I1763" t="s">
        <v>1965</v>
      </c>
    </row>
    <row r="1764" spans="1:9" x14ac:dyDescent="0.25">
      <c r="A1764" t="s">
        <v>174</v>
      </c>
      <c r="B1764" t="s">
        <v>127</v>
      </c>
      <c r="C1764" s="3">
        <v>50</v>
      </c>
      <c r="D1764" t="s">
        <v>2</v>
      </c>
      <c r="E1764">
        <v>541420</v>
      </c>
      <c r="F1764" t="s">
        <v>1562</v>
      </c>
      <c r="G1764" t="s">
        <v>1916</v>
      </c>
      <c r="H1764" s="4">
        <v>45889</v>
      </c>
      <c r="I1764" t="s">
        <v>1965</v>
      </c>
    </row>
    <row r="1765" spans="1:9" x14ac:dyDescent="0.25">
      <c r="A1765" t="s">
        <v>173</v>
      </c>
      <c r="B1765" t="s">
        <v>127</v>
      </c>
      <c r="C1765" s="3">
        <v>80</v>
      </c>
      <c r="D1765" t="s">
        <v>2</v>
      </c>
      <c r="E1765">
        <v>541421</v>
      </c>
      <c r="F1765" t="s">
        <v>1562</v>
      </c>
      <c r="G1765" t="s">
        <v>1917</v>
      </c>
      <c r="H1765" s="4">
        <v>45889</v>
      </c>
      <c r="I1765" t="s">
        <v>1965</v>
      </c>
    </row>
    <row r="1766" spans="1:9" x14ac:dyDescent="0.25">
      <c r="A1766" t="s">
        <v>172</v>
      </c>
      <c r="B1766" t="s">
        <v>127</v>
      </c>
      <c r="C1766" s="3">
        <v>50</v>
      </c>
      <c r="D1766" t="s">
        <v>2</v>
      </c>
      <c r="E1766">
        <v>541422</v>
      </c>
      <c r="F1766" t="s">
        <v>1562</v>
      </c>
      <c r="G1766" t="s">
        <v>1909</v>
      </c>
      <c r="H1766" s="4">
        <v>45889</v>
      </c>
      <c r="I1766" t="s">
        <v>1965</v>
      </c>
    </row>
    <row r="1767" spans="1:9" x14ac:dyDescent="0.25">
      <c r="A1767" t="s">
        <v>171</v>
      </c>
      <c r="B1767" t="s">
        <v>127</v>
      </c>
      <c r="C1767" s="3">
        <v>250</v>
      </c>
      <c r="D1767" t="s">
        <v>2</v>
      </c>
      <c r="E1767">
        <v>541423</v>
      </c>
      <c r="F1767" t="s">
        <v>1562</v>
      </c>
      <c r="G1767" t="s">
        <v>1918</v>
      </c>
      <c r="H1767" s="4">
        <v>45889</v>
      </c>
      <c r="I1767" t="s">
        <v>1965</v>
      </c>
    </row>
    <row r="1768" spans="1:9" x14ac:dyDescent="0.25">
      <c r="A1768" t="s">
        <v>170</v>
      </c>
      <c r="B1768" t="s">
        <v>127</v>
      </c>
      <c r="C1768" s="3">
        <v>100</v>
      </c>
      <c r="D1768" t="s">
        <v>2</v>
      </c>
      <c r="E1768">
        <v>541424</v>
      </c>
      <c r="F1768" t="s">
        <v>1562</v>
      </c>
      <c r="H1768" s="4">
        <v>45889</v>
      </c>
      <c r="I1768" t="s">
        <v>1965</v>
      </c>
    </row>
    <row r="1769" spans="1:9" x14ac:dyDescent="0.25">
      <c r="A1769" t="s">
        <v>169</v>
      </c>
      <c r="B1769" t="s">
        <v>127</v>
      </c>
      <c r="C1769" s="3">
        <v>25</v>
      </c>
      <c r="D1769" t="s">
        <v>2</v>
      </c>
      <c r="E1769">
        <v>541425</v>
      </c>
      <c r="F1769" t="s">
        <v>1562</v>
      </c>
      <c r="G1769" t="s">
        <v>1919</v>
      </c>
      <c r="H1769" s="4">
        <v>45889</v>
      </c>
      <c r="I1769" t="s">
        <v>1965</v>
      </c>
    </row>
    <row r="1770" spans="1:9" x14ac:dyDescent="0.25">
      <c r="A1770" t="s">
        <v>168</v>
      </c>
      <c r="B1770" t="s">
        <v>127</v>
      </c>
      <c r="C1770" s="3">
        <v>50</v>
      </c>
      <c r="D1770" t="s">
        <v>2</v>
      </c>
      <c r="E1770">
        <v>541426</v>
      </c>
      <c r="F1770" t="s">
        <v>1562</v>
      </c>
      <c r="G1770" t="s">
        <v>1920</v>
      </c>
      <c r="H1770" s="4">
        <v>45889</v>
      </c>
      <c r="I1770" t="s">
        <v>1965</v>
      </c>
    </row>
    <row r="1771" spans="1:9" x14ac:dyDescent="0.25">
      <c r="A1771" t="s">
        <v>167</v>
      </c>
      <c r="B1771" t="s">
        <v>127</v>
      </c>
      <c r="C1771" s="3">
        <v>50</v>
      </c>
      <c r="D1771" t="s">
        <v>2</v>
      </c>
      <c r="E1771">
        <v>541427</v>
      </c>
      <c r="F1771" t="s">
        <v>1562</v>
      </c>
      <c r="G1771" t="s">
        <v>1911</v>
      </c>
      <c r="H1771" s="4">
        <v>45889</v>
      </c>
      <c r="I1771" t="s">
        <v>1965</v>
      </c>
    </row>
    <row r="1772" spans="1:9" x14ac:dyDescent="0.25">
      <c r="A1772" t="s">
        <v>166</v>
      </c>
      <c r="B1772" t="s">
        <v>127</v>
      </c>
      <c r="C1772" s="3">
        <v>30</v>
      </c>
      <c r="D1772" t="s">
        <v>2</v>
      </c>
      <c r="E1772">
        <v>541428</v>
      </c>
      <c r="F1772" t="s">
        <v>1562</v>
      </c>
      <c r="G1772" t="s">
        <v>1909</v>
      </c>
      <c r="H1772" s="4">
        <v>45889</v>
      </c>
      <c r="I1772" t="s">
        <v>1965</v>
      </c>
    </row>
    <row r="1773" spans="1:9" x14ac:dyDescent="0.25">
      <c r="A1773" t="s">
        <v>165</v>
      </c>
      <c r="B1773" t="s">
        <v>127</v>
      </c>
      <c r="C1773" s="3">
        <v>25</v>
      </c>
      <c r="D1773" t="s">
        <v>2</v>
      </c>
      <c r="E1773">
        <v>541429</v>
      </c>
      <c r="F1773" t="s">
        <v>1562</v>
      </c>
      <c r="G1773" t="s">
        <v>1921</v>
      </c>
      <c r="H1773" s="4">
        <v>45889</v>
      </c>
      <c r="I1773" t="s">
        <v>1965</v>
      </c>
    </row>
    <row r="1774" spans="1:9" x14ac:dyDescent="0.25">
      <c r="A1774" t="s">
        <v>164</v>
      </c>
      <c r="B1774" t="s">
        <v>127</v>
      </c>
      <c r="C1774" s="3">
        <v>50</v>
      </c>
      <c r="D1774" t="s">
        <v>2</v>
      </c>
      <c r="E1774">
        <v>541430</v>
      </c>
      <c r="F1774" t="s">
        <v>1562</v>
      </c>
      <c r="G1774" t="s">
        <v>1922</v>
      </c>
      <c r="H1774" s="4">
        <v>45889</v>
      </c>
      <c r="I1774" t="s">
        <v>1965</v>
      </c>
    </row>
    <row r="1775" spans="1:9" x14ac:dyDescent="0.25">
      <c r="A1775" t="s">
        <v>163</v>
      </c>
      <c r="B1775" t="s">
        <v>127</v>
      </c>
      <c r="C1775" s="3">
        <v>100</v>
      </c>
      <c r="D1775" t="s">
        <v>2</v>
      </c>
      <c r="E1775">
        <v>541431</v>
      </c>
      <c r="F1775" t="s">
        <v>1562</v>
      </c>
      <c r="G1775" t="s">
        <v>1922</v>
      </c>
      <c r="H1775" s="4">
        <v>45889</v>
      </c>
      <c r="I1775" t="s">
        <v>1965</v>
      </c>
    </row>
    <row r="1776" spans="1:9" x14ac:dyDescent="0.25">
      <c r="A1776" t="s">
        <v>162</v>
      </c>
      <c r="B1776" t="s">
        <v>127</v>
      </c>
      <c r="C1776" s="3">
        <v>100</v>
      </c>
      <c r="D1776" t="s">
        <v>2</v>
      </c>
      <c r="E1776">
        <v>541432</v>
      </c>
      <c r="F1776" t="s">
        <v>1562</v>
      </c>
      <c r="G1776" t="s">
        <v>1923</v>
      </c>
      <c r="H1776" s="4">
        <v>45889</v>
      </c>
      <c r="I1776" t="s">
        <v>1965</v>
      </c>
    </row>
    <row r="1777" spans="1:9" x14ac:dyDescent="0.25">
      <c r="A1777" t="s">
        <v>161</v>
      </c>
      <c r="B1777" t="s">
        <v>127</v>
      </c>
      <c r="C1777" s="3">
        <v>50</v>
      </c>
      <c r="D1777" t="s">
        <v>2</v>
      </c>
      <c r="E1777">
        <v>541433</v>
      </c>
      <c r="F1777" t="s">
        <v>1562</v>
      </c>
      <c r="G1777" t="s">
        <v>1923</v>
      </c>
      <c r="H1777" s="4">
        <v>45889</v>
      </c>
      <c r="I1777" t="s">
        <v>1965</v>
      </c>
    </row>
    <row r="1778" spans="1:9" x14ac:dyDescent="0.25">
      <c r="A1778" t="s">
        <v>160</v>
      </c>
      <c r="B1778" t="s">
        <v>127</v>
      </c>
      <c r="C1778" s="3">
        <v>50</v>
      </c>
      <c r="D1778" t="s">
        <v>2</v>
      </c>
      <c r="E1778">
        <v>541434</v>
      </c>
      <c r="F1778" t="s">
        <v>1562</v>
      </c>
      <c r="G1778" t="s">
        <v>1923</v>
      </c>
      <c r="H1778" s="4">
        <v>45889</v>
      </c>
      <c r="I1778" t="s">
        <v>1965</v>
      </c>
    </row>
    <row r="1779" spans="1:9" x14ac:dyDescent="0.25">
      <c r="A1779" t="s">
        <v>159</v>
      </c>
      <c r="B1779" t="s">
        <v>127</v>
      </c>
      <c r="C1779" s="3">
        <v>100</v>
      </c>
      <c r="D1779" t="s">
        <v>2</v>
      </c>
      <c r="E1779">
        <v>541435</v>
      </c>
      <c r="F1779" t="s">
        <v>1562</v>
      </c>
      <c r="G1779" t="s">
        <v>1923</v>
      </c>
      <c r="H1779" s="4">
        <v>45889</v>
      </c>
      <c r="I1779" t="s">
        <v>1965</v>
      </c>
    </row>
    <row r="1780" spans="1:9" x14ac:dyDescent="0.25">
      <c r="A1780" t="s">
        <v>150</v>
      </c>
      <c r="B1780" t="s">
        <v>127</v>
      </c>
      <c r="C1780" s="3">
        <v>125</v>
      </c>
      <c r="D1780" t="s">
        <v>2</v>
      </c>
      <c r="E1780">
        <v>541436</v>
      </c>
      <c r="F1780" t="s">
        <v>1562</v>
      </c>
      <c r="G1780" t="s">
        <v>1924</v>
      </c>
      <c r="H1780" s="4">
        <v>45889</v>
      </c>
      <c r="I1780" t="s">
        <v>1965</v>
      </c>
    </row>
    <row r="1781" spans="1:9" x14ac:dyDescent="0.25">
      <c r="A1781" t="s">
        <v>158</v>
      </c>
      <c r="B1781" t="s">
        <v>127</v>
      </c>
      <c r="C1781" s="3">
        <v>25</v>
      </c>
      <c r="D1781" t="s">
        <v>2</v>
      </c>
      <c r="E1781">
        <v>541437</v>
      </c>
      <c r="F1781" t="s">
        <v>1562</v>
      </c>
      <c r="G1781" t="s">
        <v>1925</v>
      </c>
      <c r="H1781" s="4">
        <v>45889</v>
      </c>
      <c r="I1781" t="s">
        <v>1965</v>
      </c>
    </row>
    <row r="1782" spans="1:9" x14ac:dyDescent="0.25">
      <c r="A1782" t="s">
        <v>157</v>
      </c>
      <c r="B1782" t="s">
        <v>127</v>
      </c>
      <c r="C1782" s="3">
        <v>500</v>
      </c>
      <c r="D1782" t="s">
        <v>2</v>
      </c>
      <c r="E1782">
        <v>541441</v>
      </c>
      <c r="F1782" t="s">
        <v>1562</v>
      </c>
      <c r="H1782" s="4">
        <v>45894</v>
      </c>
      <c r="I1782" t="s">
        <v>1965</v>
      </c>
    </row>
    <row r="1783" spans="1:9" x14ac:dyDescent="0.25">
      <c r="A1783" t="s">
        <v>121</v>
      </c>
      <c r="B1783" t="s">
        <v>120</v>
      </c>
      <c r="C1783" s="3">
        <v>10</v>
      </c>
      <c r="D1783" t="s">
        <v>17</v>
      </c>
      <c r="E1783">
        <v>536150</v>
      </c>
      <c r="F1783" t="s">
        <v>1562</v>
      </c>
      <c r="G1783" s="5">
        <v>45658</v>
      </c>
      <c r="H1783" s="4">
        <v>45764</v>
      </c>
      <c r="I1783" t="s">
        <v>1965</v>
      </c>
    </row>
    <row r="1784" spans="1:9" x14ac:dyDescent="0.25">
      <c r="A1784" t="s">
        <v>118</v>
      </c>
      <c r="B1784" t="s">
        <v>120</v>
      </c>
      <c r="C1784" s="3">
        <v>160</v>
      </c>
      <c r="D1784" t="s">
        <v>17</v>
      </c>
      <c r="E1784">
        <v>547060</v>
      </c>
      <c r="F1784" t="s">
        <v>1562</v>
      </c>
      <c r="H1784" s="4">
        <v>46035</v>
      </c>
      <c r="I1784" t="s">
        <v>1965</v>
      </c>
    </row>
    <row r="1785" spans="1:9" x14ac:dyDescent="0.25">
      <c r="A1785" t="s">
        <v>48</v>
      </c>
      <c r="B1785" t="s">
        <v>69</v>
      </c>
      <c r="C1785" s="3">
        <v>1000</v>
      </c>
      <c r="D1785" t="s">
        <v>19</v>
      </c>
      <c r="E1785">
        <v>536023</v>
      </c>
      <c r="F1785" t="s">
        <v>1562</v>
      </c>
      <c r="G1785" t="s">
        <v>1926</v>
      </c>
      <c r="H1785" s="4">
        <v>45755</v>
      </c>
      <c r="I1785" t="s">
        <v>1965</v>
      </c>
    </row>
    <row r="1786" spans="1:9" x14ac:dyDescent="0.25">
      <c r="A1786" t="s">
        <v>77</v>
      </c>
      <c r="B1786" t="s">
        <v>69</v>
      </c>
      <c r="C1786" s="3">
        <v>10</v>
      </c>
      <c r="D1786" t="s">
        <v>2</v>
      </c>
      <c r="E1786">
        <v>536181</v>
      </c>
      <c r="F1786" t="s">
        <v>1562</v>
      </c>
      <c r="G1786" t="s">
        <v>1927</v>
      </c>
      <c r="H1786" s="4">
        <v>45768</v>
      </c>
      <c r="I1786" t="s">
        <v>1965</v>
      </c>
    </row>
    <row r="1787" spans="1:9" x14ac:dyDescent="0.25">
      <c r="A1787" t="s">
        <v>70</v>
      </c>
      <c r="B1787" t="s">
        <v>69</v>
      </c>
      <c r="C1787" s="3">
        <v>22</v>
      </c>
      <c r="D1787" t="s">
        <v>38</v>
      </c>
      <c r="E1787">
        <v>536661</v>
      </c>
      <c r="F1787" t="s">
        <v>1562</v>
      </c>
      <c r="H1787" s="4">
        <v>45777</v>
      </c>
      <c r="I1787" t="s">
        <v>1965</v>
      </c>
    </row>
    <row r="1788" spans="1:9" x14ac:dyDescent="0.25">
      <c r="A1788" t="s">
        <v>78</v>
      </c>
      <c r="B1788" t="s">
        <v>69</v>
      </c>
      <c r="C1788" s="3">
        <v>1385</v>
      </c>
      <c r="D1788" t="s">
        <v>17</v>
      </c>
      <c r="E1788">
        <v>537125</v>
      </c>
      <c r="F1788" t="s">
        <v>1562</v>
      </c>
      <c r="H1788" s="4">
        <v>45789</v>
      </c>
      <c r="I1788" t="s">
        <v>1965</v>
      </c>
    </row>
    <row r="1789" spans="1:9" x14ac:dyDescent="0.25">
      <c r="A1789" t="s">
        <v>77</v>
      </c>
      <c r="B1789" t="s">
        <v>69</v>
      </c>
      <c r="C1789" s="3">
        <v>10</v>
      </c>
      <c r="D1789" t="s">
        <v>9</v>
      </c>
      <c r="E1789">
        <v>537195</v>
      </c>
      <c r="F1789" t="s">
        <v>1562</v>
      </c>
      <c r="G1789" t="s">
        <v>1928</v>
      </c>
      <c r="H1789" s="4">
        <v>45793</v>
      </c>
      <c r="I1789" t="s">
        <v>1965</v>
      </c>
    </row>
    <row r="1790" spans="1:9" x14ac:dyDescent="0.25">
      <c r="A1790" t="s">
        <v>71</v>
      </c>
      <c r="B1790" t="s">
        <v>69</v>
      </c>
      <c r="C1790" s="3">
        <v>250</v>
      </c>
      <c r="D1790" t="s">
        <v>9</v>
      </c>
      <c r="E1790">
        <v>537196</v>
      </c>
      <c r="F1790" t="s">
        <v>1562</v>
      </c>
      <c r="H1790" s="4">
        <v>45793</v>
      </c>
      <c r="I1790" t="s">
        <v>1965</v>
      </c>
    </row>
    <row r="1791" spans="1:9" x14ac:dyDescent="0.25">
      <c r="A1791" t="s">
        <v>70</v>
      </c>
      <c r="B1791" t="s">
        <v>69</v>
      </c>
      <c r="C1791" s="3">
        <v>42.05</v>
      </c>
      <c r="D1791" t="s">
        <v>38</v>
      </c>
      <c r="E1791">
        <v>537798</v>
      </c>
      <c r="F1791" t="s">
        <v>1562</v>
      </c>
      <c r="H1791" s="4">
        <v>45807</v>
      </c>
      <c r="I1791" t="s">
        <v>1965</v>
      </c>
    </row>
    <row r="1792" spans="1:9" x14ac:dyDescent="0.25">
      <c r="A1792" t="s">
        <v>72</v>
      </c>
      <c r="B1792" t="s">
        <v>69</v>
      </c>
      <c r="C1792" s="3">
        <v>20000</v>
      </c>
      <c r="D1792" t="s">
        <v>53</v>
      </c>
      <c r="E1792">
        <v>538086</v>
      </c>
      <c r="F1792" t="s">
        <v>1562</v>
      </c>
      <c r="H1792" s="4">
        <v>45813</v>
      </c>
      <c r="I1792" t="s">
        <v>1965</v>
      </c>
    </row>
    <row r="1793" spans="1:9" x14ac:dyDescent="0.25">
      <c r="A1793" t="s">
        <v>71</v>
      </c>
      <c r="B1793" t="s">
        <v>69</v>
      </c>
      <c r="C1793" s="3">
        <v>10</v>
      </c>
      <c r="D1793" t="s">
        <v>2</v>
      </c>
      <c r="E1793">
        <v>538112</v>
      </c>
      <c r="F1793" t="s">
        <v>1562</v>
      </c>
      <c r="H1793" s="4">
        <v>45814</v>
      </c>
      <c r="I1793" t="s">
        <v>1965</v>
      </c>
    </row>
    <row r="1794" spans="1:9" x14ac:dyDescent="0.25">
      <c r="A1794" t="s">
        <v>74</v>
      </c>
      <c r="B1794" t="s">
        <v>69</v>
      </c>
      <c r="C1794" s="3">
        <v>1830</v>
      </c>
      <c r="D1794" t="s">
        <v>2</v>
      </c>
      <c r="E1794">
        <v>539240</v>
      </c>
      <c r="F1794" t="s">
        <v>1562</v>
      </c>
      <c r="H1794" s="4">
        <v>45833</v>
      </c>
      <c r="I1794" t="s">
        <v>1965</v>
      </c>
    </row>
    <row r="1795" spans="1:9" x14ac:dyDescent="0.25">
      <c r="A1795" t="s">
        <v>73</v>
      </c>
      <c r="B1795" t="s">
        <v>69</v>
      </c>
      <c r="C1795" s="3">
        <v>5259.58</v>
      </c>
      <c r="D1795" t="s">
        <v>8</v>
      </c>
      <c r="E1795">
        <v>539213</v>
      </c>
      <c r="F1795" t="s">
        <v>1562</v>
      </c>
      <c r="G1795" t="s">
        <v>1929</v>
      </c>
      <c r="H1795" s="4">
        <v>45833</v>
      </c>
      <c r="I1795" t="s">
        <v>1965</v>
      </c>
    </row>
    <row r="1796" spans="1:9" x14ac:dyDescent="0.25">
      <c r="A1796" t="s">
        <v>70</v>
      </c>
      <c r="B1796" t="s">
        <v>69</v>
      </c>
      <c r="C1796" s="3">
        <v>35.85</v>
      </c>
      <c r="D1796" t="s">
        <v>38</v>
      </c>
      <c r="E1796">
        <v>539341</v>
      </c>
      <c r="F1796" t="s">
        <v>1562</v>
      </c>
      <c r="H1796" s="4">
        <v>45838</v>
      </c>
      <c r="I1796" t="s">
        <v>1965</v>
      </c>
    </row>
    <row r="1797" spans="1:9" x14ac:dyDescent="0.25">
      <c r="A1797" t="s">
        <v>76</v>
      </c>
      <c r="B1797" t="s">
        <v>69</v>
      </c>
      <c r="C1797" s="3">
        <v>1040</v>
      </c>
      <c r="D1797" t="s">
        <v>18</v>
      </c>
      <c r="E1797">
        <v>540269</v>
      </c>
      <c r="F1797" t="s">
        <v>1562</v>
      </c>
      <c r="G1797" t="s">
        <v>1930</v>
      </c>
      <c r="H1797" s="4">
        <v>45867</v>
      </c>
      <c r="I1797" t="s">
        <v>1965</v>
      </c>
    </row>
    <row r="1798" spans="1:9" x14ac:dyDescent="0.25">
      <c r="A1798" t="s">
        <v>70</v>
      </c>
      <c r="B1798" t="s">
        <v>69</v>
      </c>
      <c r="C1798" s="3">
        <v>32.799999999999997</v>
      </c>
      <c r="D1798" t="s">
        <v>38</v>
      </c>
      <c r="E1798">
        <v>540283</v>
      </c>
      <c r="F1798" t="s">
        <v>1562</v>
      </c>
      <c r="H1798" s="4">
        <v>45869</v>
      </c>
      <c r="I1798" t="s">
        <v>1965</v>
      </c>
    </row>
    <row r="1799" spans="1:9" x14ac:dyDescent="0.25">
      <c r="A1799" t="s">
        <v>70</v>
      </c>
      <c r="B1799" t="s">
        <v>69</v>
      </c>
      <c r="C1799" s="3">
        <v>51</v>
      </c>
      <c r="D1799" t="s">
        <v>38</v>
      </c>
      <c r="E1799">
        <v>541864</v>
      </c>
      <c r="F1799" t="s">
        <v>1562</v>
      </c>
      <c r="H1799" s="4">
        <v>45898</v>
      </c>
      <c r="I1799" t="s">
        <v>1965</v>
      </c>
    </row>
    <row r="1800" spans="1:9" x14ac:dyDescent="0.25">
      <c r="A1800" t="s">
        <v>75</v>
      </c>
      <c r="B1800" t="s">
        <v>69</v>
      </c>
      <c r="C1800" s="3">
        <v>6600</v>
      </c>
      <c r="D1800" t="s">
        <v>2</v>
      </c>
      <c r="E1800">
        <v>542229</v>
      </c>
      <c r="F1800" t="s">
        <v>1562</v>
      </c>
      <c r="H1800" s="4">
        <v>45909</v>
      </c>
      <c r="I1800" t="s">
        <v>1965</v>
      </c>
    </row>
    <row r="1801" spans="1:9" x14ac:dyDescent="0.25">
      <c r="A1801" t="s">
        <v>70</v>
      </c>
      <c r="B1801" t="s">
        <v>69</v>
      </c>
      <c r="C1801" s="3">
        <v>28.7</v>
      </c>
      <c r="D1801" t="s">
        <v>38</v>
      </c>
      <c r="E1801">
        <v>542430</v>
      </c>
      <c r="F1801" t="s">
        <v>1562</v>
      </c>
      <c r="H1801" s="4">
        <v>45919</v>
      </c>
      <c r="I1801" t="s">
        <v>1965</v>
      </c>
    </row>
    <row r="1802" spans="1:9" x14ac:dyDescent="0.25">
      <c r="A1802" t="s">
        <v>70</v>
      </c>
      <c r="B1802" t="s">
        <v>69</v>
      </c>
      <c r="C1802" s="3">
        <v>16</v>
      </c>
      <c r="D1802" t="s">
        <v>38</v>
      </c>
      <c r="E1802">
        <v>543018</v>
      </c>
      <c r="F1802" t="s">
        <v>1562</v>
      </c>
      <c r="H1802" s="4">
        <v>45930</v>
      </c>
      <c r="I1802" t="s">
        <v>1965</v>
      </c>
    </row>
    <row r="1803" spans="1:9" x14ac:dyDescent="0.25">
      <c r="A1803" t="s">
        <v>90</v>
      </c>
      <c r="B1803" t="s">
        <v>69</v>
      </c>
      <c r="C1803" s="3">
        <v>16000</v>
      </c>
      <c r="D1803" t="s">
        <v>89</v>
      </c>
      <c r="E1803">
        <v>543318</v>
      </c>
      <c r="F1803" t="s">
        <v>1562</v>
      </c>
      <c r="H1803" s="4">
        <v>45939</v>
      </c>
      <c r="I1803" t="s">
        <v>1965</v>
      </c>
    </row>
    <row r="1804" spans="1:9" x14ac:dyDescent="0.25">
      <c r="A1804" t="s">
        <v>14</v>
      </c>
      <c r="B1804" t="s">
        <v>69</v>
      </c>
      <c r="C1804" s="3">
        <v>251</v>
      </c>
      <c r="D1804" t="s">
        <v>79</v>
      </c>
      <c r="E1804">
        <v>543392</v>
      </c>
      <c r="F1804" t="s">
        <v>1562</v>
      </c>
      <c r="H1804" s="4">
        <v>45945</v>
      </c>
      <c r="I1804" t="s">
        <v>1965</v>
      </c>
    </row>
    <row r="1805" spans="1:9" x14ac:dyDescent="0.25">
      <c r="A1805" t="s">
        <v>88</v>
      </c>
      <c r="B1805" t="s">
        <v>69</v>
      </c>
      <c r="C1805" s="3">
        <v>52</v>
      </c>
      <c r="D1805" t="s">
        <v>79</v>
      </c>
      <c r="E1805">
        <v>543393</v>
      </c>
      <c r="F1805" t="s">
        <v>1562</v>
      </c>
      <c r="H1805" s="4">
        <v>45945</v>
      </c>
      <c r="I1805" t="s">
        <v>1965</v>
      </c>
    </row>
    <row r="1806" spans="1:9" x14ac:dyDescent="0.25">
      <c r="A1806" t="s">
        <v>87</v>
      </c>
      <c r="B1806" t="s">
        <v>69</v>
      </c>
      <c r="C1806" s="3">
        <v>43</v>
      </c>
      <c r="D1806" t="s">
        <v>79</v>
      </c>
      <c r="E1806">
        <v>543394</v>
      </c>
      <c r="F1806" t="s">
        <v>1562</v>
      </c>
      <c r="H1806" s="4">
        <v>45945</v>
      </c>
      <c r="I1806" t="s">
        <v>1965</v>
      </c>
    </row>
    <row r="1807" spans="1:9" x14ac:dyDescent="0.25">
      <c r="A1807" t="s">
        <v>86</v>
      </c>
      <c r="B1807" t="s">
        <v>69</v>
      </c>
      <c r="C1807" s="3">
        <v>47</v>
      </c>
      <c r="D1807" t="s">
        <v>79</v>
      </c>
      <c r="E1807">
        <v>543395</v>
      </c>
      <c r="F1807" t="s">
        <v>1562</v>
      </c>
      <c r="H1807" s="4">
        <v>45945</v>
      </c>
      <c r="I1807" t="s">
        <v>1965</v>
      </c>
    </row>
    <row r="1808" spans="1:9" x14ac:dyDescent="0.25">
      <c r="A1808" t="s">
        <v>85</v>
      </c>
      <c r="B1808" t="s">
        <v>69</v>
      </c>
      <c r="C1808" s="3">
        <v>50</v>
      </c>
      <c r="D1808" t="s">
        <v>79</v>
      </c>
      <c r="E1808">
        <v>543396</v>
      </c>
      <c r="F1808" t="s">
        <v>1562</v>
      </c>
      <c r="H1808" s="4">
        <v>45945</v>
      </c>
      <c r="I1808" t="s">
        <v>1965</v>
      </c>
    </row>
    <row r="1809" spans="1:9" x14ac:dyDescent="0.25">
      <c r="A1809" t="s">
        <v>84</v>
      </c>
      <c r="B1809" t="s">
        <v>69</v>
      </c>
      <c r="C1809" s="3">
        <v>55</v>
      </c>
      <c r="D1809" t="s">
        <v>79</v>
      </c>
      <c r="E1809">
        <v>543397</v>
      </c>
      <c r="F1809" t="s">
        <v>1562</v>
      </c>
      <c r="H1809" s="4">
        <v>45945</v>
      </c>
      <c r="I1809" t="s">
        <v>1965</v>
      </c>
    </row>
    <row r="1810" spans="1:9" x14ac:dyDescent="0.25">
      <c r="A1810" t="s">
        <v>83</v>
      </c>
      <c r="B1810" t="s">
        <v>69</v>
      </c>
      <c r="C1810" s="3">
        <v>32</v>
      </c>
      <c r="D1810" t="s">
        <v>79</v>
      </c>
      <c r="E1810">
        <v>543398</v>
      </c>
      <c r="F1810" t="s">
        <v>1562</v>
      </c>
      <c r="H1810" s="4">
        <v>45945</v>
      </c>
      <c r="I1810" t="s">
        <v>1965</v>
      </c>
    </row>
    <row r="1811" spans="1:9" x14ac:dyDescent="0.25">
      <c r="A1811" t="s">
        <v>21</v>
      </c>
      <c r="B1811" t="s">
        <v>69</v>
      </c>
      <c r="C1811" s="3">
        <v>31</v>
      </c>
      <c r="D1811" t="s">
        <v>79</v>
      </c>
      <c r="E1811">
        <v>543399</v>
      </c>
      <c r="F1811" t="s">
        <v>1562</v>
      </c>
      <c r="H1811" s="4">
        <v>45945</v>
      </c>
      <c r="I1811" t="s">
        <v>1965</v>
      </c>
    </row>
    <row r="1812" spans="1:9" x14ac:dyDescent="0.25">
      <c r="A1812" t="s">
        <v>82</v>
      </c>
      <c r="B1812" t="s">
        <v>69</v>
      </c>
      <c r="C1812" s="3">
        <v>55</v>
      </c>
      <c r="D1812" t="s">
        <v>79</v>
      </c>
      <c r="E1812">
        <v>543400</v>
      </c>
      <c r="F1812" t="s">
        <v>1562</v>
      </c>
      <c r="H1812" s="4">
        <v>45945</v>
      </c>
      <c r="I1812" t="s">
        <v>1965</v>
      </c>
    </row>
    <row r="1813" spans="1:9" x14ac:dyDescent="0.25">
      <c r="A1813" t="s">
        <v>81</v>
      </c>
      <c r="B1813" t="s">
        <v>69</v>
      </c>
      <c r="C1813" s="3">
        <v>39</v>
      </c>
      <c r="D1813" t="s">
        <v>79</v>
      </c>
      <c r="E1813">
        <v>543401</v>
      </c>
      <c r="F1813" t="s">
        <v>1562</v>
      </c>
      <c r="H1813" s="4">
        <v>45945</v>
      </c>
      <c r="I1813" t="s">
        <v>1965</v>
      </c>
    </row>
    <row r="1814" spans="1:9" x14ac:dyDescent="0.25">
      <c r="A1814" t="s">
        <v>80</v>
      </c>
      <c r="B1814" t="s">
        <v>69</v>
      </c>
      <c r="C1814" s="3">
        <v>45</v>
      </c>
      <c r="D1814" t="s">
        <v>79</v>
      </c>
      <c r="E1814">
        <v>543402</v>
      </c>
      <c r="F1814" t="s">
        <v>1562</v>
      </c>
      <c r="H1814" s="4">
        <v>45945</v>
      </c>
      <c r="I1814" t="s">
        <v>1965</v>
      </c>
    </row>
    <row r="1815" spans="1:9" x14ac:dyDescent="0.25">
      <c r="A1815" t="s">
        <v>91</v>
      </c>
      <c r="B1815" t="s">
        <v>69</v>
      </c>
      <c r="C1815" s="3">
        <v>100</v>
      </c>
      <c r="D1815" t="s">
        <v>2</v>
      </c>
      <c r="E1815">
        <v>543579</v>
      </c>
      <c r="F1815" t="s">
        <v>1562</v>
      </c>
      <c r="H1815" s="4">
        <v>45952</v>
      </c>
      <c r="I1815" t="s">
        <v>1965</v>
      </c>
    </row>
    <row r="1816" spans="1:9" x14ac:dyDescent="0.25">
      <c r="A1816" t="s">
        <v>92</v>
      </c>
      <c r="B1816" t="s">
        <v>69</v>
      </c>
      <c r="C1816" s="3">
        <v>1015</v>
      </c>
      <c r="D1816" t="s">
        <v>2</v>
      </c>
      <c r="E1816">
        <v>543583</v>
      </c>
      <c r="F1816" t="s">
        <v>1562</v>
      </c>
      <c r="H1816" s="4">
        <v>45952</v>
      </c>
      <c r="I1816" t="s">
        <v>1965</v>
      </c>
    </row>
    <row r="1817" spans="1:9" x14ac:dyDescent="0.25">
      <c r="A1817" t="s">
        <v>70</v>
      </c>
      <c r="B1817" t="s">
        <v>69</v>
      </c>
      <c r="C1817" s="3">
        <v>28.3</v>
      </c>
      <c r="D1817" t="s">
        <v>38</v>
      </c>
      <c r="E1817">
        <v>544081</v>
      </c>
      <c r="F1817" t="s">
        <v>1562</v>
      </c>
      <c r="H1817" s="4">
        <v>45961</v>
      </c>
      <c r="I1817" t="s">
        <v>1965</v>
      </c>
    </row>
    <row r="1818" spans="1:9" x14ac:dyDescent="0.25">
      <c r="A1818" t="s">
        <v>78</v>
      </c>
      <c r="B1818" t="s">
        <v>69</v>
      </c>
      <c r="C1818" s="3">
        <v>260</v>
      </c>
      <c r="D1818" t="s">
        <v>17</v>
      </c>
      <c r="E1818">
        <v>544312</v>
      </c>
      <c r="F1818" t="s">
        <v>1562</v>
      </c>
      <c r="H1818" s="4">
        <v>45964</v>
      </c>
      <c r="I1818" t="s">
        <v>1965</v>
      </c>
    </row>
    <row r="1819" spans="1:9" x14ac:dyDescent="0.25">
      <c r="A1819" t="s">
        <v>96</v>
      </c>
      <c r="B1819" t="s">
        <v>69</v>
      </c>
      <c r="C1819" s="3">
        <v>700</v>
      </c>
      <c r="D1819" t="s">
        <v>17</v>
      </c>
      <c r="E1819">
        <v>544454</v>
      </c>
      <c r="F1819" t="s">
        <v>1562</v>
      </c>
      <c r="G1819" t="s">
        <v>1931</v>
      </c>
      <c r="H1819" s="4">
        <v>45971</v>
      </c>
      <c r="I1819" t="s">
        <v>1965</v>
      </c>
    </row>
    <row r="1820" spans="1:9" x14ac:dyDescent="0.25">
      <c r="A1820" t="s">
        <v>94</v>
      </c>
      <c r="B1820" t="s">
        <v>69</v>
      </c>
      <c r="C1820" s="3">
        <v>700</v>
      </c>
      <c r="D1820" t="s">
        <v>8</v>
      </c>
      <c r="E1820">
        <v>544457</v>
      </c>
      <c r="F1820" t="s">
        <v>1562</v>
      </c>
      <c r="G1820" t="s">
        <v>1685</v>
      </c>
      <c r="H1820" s="4">
        <v>45972</v>
      </c>
      <c r="I1820" t="s">
        <v>1965</v>
      </c>
    </row>
    <row r="1821" spans="1:9" x14ac:dyDescent="0.25">
      <c r="A1821" t="s">
        <v>95</v>
      </c>
      <c r="B1821" t="s">
        <v>69</v>
      </c>
      <c r="C1821" s="3">
        <v>1500</v>
      </c>
      <c r="D1821" t="s">
        <v>18</v>
      </c>
      <c r="E1821">
        <v>544500</v>
      </c>
      <c r="F1821" t="s">
        <v>1562</v>
      </c>
      <c r="H1821" s="4">
        <v>45975</v>
      </c>
      <c r="I1821" t="s">
        <v>1965</v>
      </c>
    </row>
    <row r="1822" spans="1:9" x14ac:dyDescent="0.25">
      <c r="A1822" t="s">
        <v>93</v>
      </c>
      <c r="B1822" t="s">
        <v>69</v>
      </c>
      <c r="C1822" s="3">
        <v>1110</v>
      </c>
      <c r="D1822" t="s">
        <v>17</v>
      </c>
      <c r="E1822">
        <v>544550</v>
      </c>
      <c r="F1822" t="s">
        <v>1562</v>
      </c>
      <c r="H1822" s="4">
        <v>45979</v>
      </c>
      <c r="I1822" t="s">
        <v>1965</v>
      </c>
    </row>
    <row r="1823" spans="1:9" x14ac:dyDescent="0.25">
      <c r="A1823" t="s">
        <v>97</v>
      </c>
      <c r="B1823" t="s">
        <v>69</v>
      </c>
      <c r="C1823" s="3">
        <v>490</v>
      </c>
      <c r="D1823" t="s">
        <v>17</v>
      </c>
      <c r="E1823">
        <v>544979</v>
      </c>
      <c r="F1823" t="s">
        <v>1562</v>
      </c>
      <c r="H1823" s="4">
        <v>45981</v>
      </c>
      <c r="I1823" t="s">
        <v>1965</v>
      </c>
    </row>
    <row r="1824" spans="1:9" x14ac:dyDescent="0.25">
      <c r="A1824" t="s">
        <v>70</v>
      </c>
      <c r="B1824" t="s">
        <v>69</v>
      </c>
      <c r="C1824" s="3">
        <v>66</v>
      </c>
      <c r="D1824" t="s">
        <v>38</v>
      </c>
      <c r="E1824">
        <v>545181</v>
      </c>
      <c r="F1824" t="s">
        <v>1562</v>
      </c>
      <c r="H1824" s="4">
        <v>45989</v>
      </c>
      <c r="I1824" t="s">
        <v>1965</v>
      </c>
    </row>
    <row r="1825" spans="1:9" x14ac:dyDescent="0.25">
      <c r="A1825" t="s">
        <v>110</v>
      </c>
      <c r="B1825" t="s">
        <v>69</v>
      </c>
      <c r="C1825" s="3">
        <v>25</v>
      </c>
      <c r="D1825" t="s">
        <v>2</v>
      </c>
      <c r="E1825">
        <v>545584</v>
      </c>
      <c r="F1825" t="s">
        <v>1562</v>
      </c>
      <c r="G1825" t="s">
        <v>1632</v>
      </c>
      <c r="H1825" s="4">
        <v>45990</v>
      </c>
      <c r="I1825" t="s">
        <v>1965</v>
      </c>
    </row>
    <row r="1826" spans="1:9" x14ac:dyDescent="0.25">
      <c r="A1826" t="s">
        <v>109</v>
      </c>
      <c r="B1826" t="s">
        <v>69</v>
      </c>
      <c r="C1826" s="3">
        <v>100</v>
      </c>
      <c r="D1826" t="s">
        <v>2</v>
      </c>
      <c r="E1826">
        <v>545597</v>
      </c>
      <c r="F1826" t="s">
        <v>1562</v>
      </c>
      <c r="H1826" s="4">
        <v>45990</v>
      </c>
      <c r="I1826" t="s">
        <v>1965</v>
      </c>
    </row>
    <row r="1827" spans="1:9" x14ac:dyDescent="0.25">
      <c r="A1827" t="s">
        <v>108</v>
      </c>
      <c r="B1827" t="s">
        <v>69</v>
      </c>
      <c r="C1827" s="3">
        <v>100</v>
      </c>
      <c r="D1827" t="s">
        <v>2</v>
      </c>
      <c r="E1827">
        <v>545598</v>
      </c>
      <c r="F1827" t="s">
        <v>1562</v>
      </c>
      <c r="H1827" s="4">
        <v>45990</v>
      </c>
      <c r="I1827" t="s">
        <v>1965</v>
      </c>
    </row>
    <row r="1828" spans="1:9" x14ac:dyDescent="0.25">
      <c r="A1828" t="s">
        <v>107</v>
      </c>
      <c r="B1828" t="s">
        <v>69</v>
      </c>
      <c r="C1828" s="3">
        <v>100</v>
      </c>
      <c r="D1828" t="s">
        <v>2</v>
      </c>
      <c r="E1828">
        <v>545599</v>
      </c>
      <c r="F1828" t="s">
        <v>1562</v>
      </c>
      <c r="H1828" s="4">
        <v>45991</v>
      </c>
      <c r="I1828" t="s">
        <v>1965</v>
      </c>
    </row>
    <row r="1829" spans="1:9" x14ac:dyDescent="0.25">
      <c r="A1829" t="s">
        <v>105</v>
      </c>
      <c r="B1829" t="s">
        <v>69</v>
      </c>
      <c r="C1829" s="3">
        <v>25</v>
      </c>
      <c r="D1829" t="s">
        <v>2</v>
      </c>
      <c r="E1829">
        <v>545587</v>
      </c>
      <c r="F1829" t="s">
        <v>1562</v>
      </c>
      <c r="H1829" s="4">
        <v>45991</v>
      </c>
      <c r="I1829" t="s">
        <v>1965</v>
      </c>
    </row>
    <row r="1830" spans="1:9" x14ac:dyDescent="0.25">
      <c r="A1830" t="s">
        <v>106</v>
      </c>
      <c r="B1830" t="s">
        <v>69</v>
      </c>
      <c r="C1830" s="3">
        <v>20</v>
      </c>
      <c r="D1830" t="s">
        <v>2</v>
      </c>
      <c r="E1830">
        <v>545589</v>
      </c>
      <c r="F1830" t="s">
        <v>1562</v>
      </c>
      <c r="G1830" t="s">
        <v>1632</v>
      </c>
      <c r="H1830" s="4">
        <v>45991</v>
      </c>
      <c r="I1830" t="s">
        <v>1965</v>
      </c>
    </row>
    <row r="1831" spans="1:9" x14ac:dyDescent="0.25">
      <c r="A1831" t="s">
        <v>104</v>
      </c>
      <c r="B1831" t="s">
        <v>69</v>
      </c>
      <c r="C1831" s="3">
        <v>440</v>
      </c>
      <c r="D1831" t="s">
        <v>2</v>
      </c>
      <c r="E1831">
        <v>549465</v>
      </c>
      <c r="F1831" t="s">
        <v>1562</v>
      </c>
      <c r="H1831" s="4">
        <v>45992</v>
      </c>
      <c r="I1831" t="s">
        <v>1965</v>
      </c>
    </row>
    <row r="1832" spans="1:9" x14ac:dyDescent="0.25">
      <c r="A1832" t="s">
        <v>104</v>
      </c>
      <c r="B1832" t="s">
        <v>69</v>
      </c>
      <c r="C1832" s="3">
        <v>1475</v>
      </c>
      <c r="D1832" t="s">
        <v>2</v>
      </c>
      <c r="E1832">
        <v>545577</v>
      </c>
      <c r="F1832" t="s">
        <v>1562</v>
      </c>
      <c r="G1832" t="s">
        <v>1932</v>
      </c>
      <c r="H1832" s="4">
        <v>45996</v>
      </c>
      <c r="I1832" t="s">
        <v>1965</v>
      </c>
    </row>
    <row r="1833" spans="1:9" x14ac:dyDescent="0.25">
      <c r="A1833" t="s">
        <v>111</v>
      </c>
      <c r="B1833" t="s">
        <v>69</v>
      </c>
      <c r="C1833" s="3">
        <v>100</v>
      </c>
      <c r="D1833" t="s">
        <v>17</v>
      </c>
      <c r="E1833">
        <v>545627</v>
      </c>
      <c r="F1833" t="s">
        <v>1562</v>
      </c>
      <c r="H1833" s="4">
        <v>45999</v>
      </c>
      <c r="I1833" t="s">
        <v>1965</v>
      </c>
    </row>
    <row r="1834" spans="1:9" x14ac:dyDescent="0.25">
      <c r="A1834" t="s">
        <v>98</v>
      </c>
      <c r="B1834" t="s">
        <v>69</v>
      </c>
      <c r="C1834" s="3">
        <v>1025</v>
      </c>
      <c r="D1834" t="s">
        <v>17</v>
      </c>
      <c r="E1834">
        <v>545871</v>
      </c>
      <c r="F1834" t="s">
        <v>1562</v>
      </c>
      <c r="G1834" t="s">
        <v>1933</v>
      </c>
      <c r="H1834" s="4">
        <v>46002</v>
      </c>
      <c r="I1834" t="s">
        <v>1965</v>
      </c>
    </row>
    <row r="1835" spans="1:9" x14ac:dyDescent="0.25">
      <c r="A1835" t="s">
        <v>97</v>
      </c>
      <c r="B1835" t="s">
        <v>69</v>
      </c>
      <c r="C1835" s="3">
        <v>400</v>
      </c>
      <c r="D1835" t="s">
        <v>17</v>
      </c>
      <c r="E1835">
        <v>545873</v>
      </c>
      <c r="F1835" t="s">
        <v>1562</v>
      </c>
      <c r="H1835" s="4">
        <v>46002</v>
      </c>
      <c r="I1835" t="s">
        <v>1965</v>
      </c>
    </row>
    <row r="1836" spans="1:9" x14ac:dyDescent="0.25">
      <c r="A1836" t="s">
        <v>99</v>
      </c>
      <c r="B1836" t="s">
        <v>69</v>
      </c>
      <c r="C1836" s="3">
        <v>500</v>
      </c>
      <c r="D1836" t="s">
        <v>3</v>
      </c>
      <c r="E1836">
        <v>545933</v>
      </c>
      <c r="F1836" t="s">
        <v>1562</v>
      </c>
      <c r="G1836" t="s">
        <v>1934</v>
      </c>
      <c r="H1836" s="4">
        <v>46006</v>
      </c>
      <c r="I1836" t="s">
        <v>1965</v>
      </c>
    </row>
    <row r="1837" spans="1:9" x14ac:dyDescent="0.25">
      <c r="A1837" t="s">
        <v>98</v>
      </c>
      <c r="B1837" t="s">
        <v>69</v>
      </c>
      <c r="C1837" s="3">
        <v>305</v>
      </c>
      <c r="D1837" t="s">
        <v>17</v>
      </c>
      <c r="E1837">
        <v>545992</v>
      </c>
      <c r="F1837" t="s">
        <v>1562</v>
      </c>
      <c r="G1837" t="s">
        <v>1935</v>
      </c>
      <c r="H1837" s="4">
        <v>46008</v>
      </c>
      <c r="I1837" t="s">
        <v>1965</v>
      </c>
    </row>
    <row r="1838" spans="1:9" x14ac:dyDescent="0.25">
      <c r="A1838" t="s">
        <v>103</v>
      </c>
      <c r="B1838" t="s">
        <v>69</v>
      </c>
      <c r="C1838" s="3">
        <v>1677</v>
      </c>
      <c r="D1838" t="s">
        <v>2</v>
      </c>
      <c r="E1838">
        <v>546134</v>
      </c>
      <c r="F1838" t="s">
        <v>1562</v>
      </c>
      <c r="G1838" t="s">
        <v>1936</v>
      </c>
      <c r="H1838" s="4">
        <v>46008</v>
      </c>
      <c r="I1838" t="s">
        <v>1965</v>
      </c>
    </row>
    <row r="1839" spans="1:9" x14ac:dyDescent="0.25">
      <c r="A1839" t="s">
        <v>100</v>
      </c>
      <c r="B1839" t="s">
        <v>69</v>
      </c>
      <c r="C1839" s="3">
        <v>1000</v>
      </c>
      <c r="D1839" t="s">
        <v>53</v>
      </c>
      <c r="E1839">
        <v>546088</v>
      </c>
      <c r="F1839" t="s">
        <v>1562</v>
      </c>
      <c r="H1839" s="4">
        <v>46013</v>
      </c>
      <c r="I1839" t="s">
        <v>1965</v>
      </c>
    </row>
    <row r="1840" spans="1:9" x14ac:dyDescent="0.25">
      <c r="A1840" t="s">
        <v>101</v>
      </c>
      <c r="B1840" t="s">
        <v>69</v>
      </c>
      <c r="C1840" s="3">
        <v>50</v>
      </c>
      <c r="D1840" t="s">
        <v>42</v>
      </c>
      <c r="E1840">
        <v>546110</v>
      </c>
      <c r="F1840" t="s">
        <v>1562</v>
      </c>
      <c r="H1840" s="4">
        <v>46014</v>
      </c>
      <c r="I1840" t="s">
        <v>1965</v>
      </c>
    </row>
    <row r="1841" spans="1:9" x14ac:dyDescent="0.25">
      <c r="A1841" t="s">
        <v>102</v>
      </c>
      <c r="B1841" t="s">
        <v>69</v>
      </c>
      <c r="C1841" s="3">
        <v>54.1</v>
      </c>
      <c r="D1841" t="s">
        <v>8</v>
      </c>
      <c r="E1841">
        <v>546126</v>
      </c>
      <c r="F1841" t="s">
        <v>1562</v>
      </c>
      <c r="G1841" t="s">
        <v>1937</v>
      </c>
      <c r="H1841" s="4">
        <v>46014</v>
      </c>
      <c r="I1841" t="s">
        <v>1965</v>
      </c>
    </row>
    <row r="1842" spans="1:9" x14ac:dyDescent="0.25">
      <c r="A1842" t="s">
        <v>70</v>
      </c>
      <c r="B1842" t="s">
        <v>69</v>
      </c>
      <c r="C1842" s="3">
        <v>51</v>
      </c>
      <c r="D1842" t="s">
        <v>38</v>
      </c>
      <c r="E1842">
        <v>546139</v>
      </c>
      <c r="F1842" t="s">
        <v>1562</v>
      </c>
      <c r="H1842" s="4">
        <v>46015</v>
      </c>
      <c r="I1842" t="s">
        <v>1965</v>
      </c>
    </row>
    <row r="1843" spans="1:9" x14ac:dyDescent="0.25">
      <c r="A1843" t="s">
        <v>70</v>
      </c>
      <c r="B1843" t="s">
        <v>69</v>
      </c>
      <c r="C1843" s="3">
        <v>65.95</v>
      </c>
      <c r="D1843" t="s">
        <v>38</v>
      </c>
      <c r="E1843">
        <v>547730</v>
      </c>
      <c r="F1843" t="s">
        <v>1562</v>
      </c>
      <c r="H1843" s="4">
        <v>46052</v>
      </c>
      <c r="I1843" t="s">
        <v>1965</v>
      </c>
    </row>
    <row r="1844" spans="1:9" x14ac:dyDescent="0.25">
      <c r="A1844" t="s">
        <v>115</v>
      </c>
      <c r="B1844" t="s">
        <v>69</v>
      </c>
      <c r="C1844" s="3">
        <v>160</v>
      </c>
      <c r="D1844" t="s">
        <v>9</v>
      </c>
      <c r="E1844">
        <v>549104</v>
      </c>
      <c r="F1844" t="s">
        <v>1562</v>
      </c>
      <c r="G1844" t="s">
        <v>1633</v>
      </c>
      <c r="H1844" s="4">
        <v>46057</v>
      </c>
      <c r="I1844" t="s">
        <v>1965</v>
      </c>
    </row>
    <row r="1845" spans="1:9" x14ac:dyDescent="0.25">
      <c r="A1845" t="s">
        <v>115</v>
      </c>
      <c r="B1845" t="s">
        <v>69</v>
      </c>
      <c r="C1845" s="3">
        <v>152.75</v>
      </c>
      <c r="D1845" t="s">
        <v>9</v>
      </c>
      <c r="E1845">
        <v>548026</v>
      </c>
      <c r="F1845" t="s">
        <v>1562</v>
      </c>
      <c r="H1845" s="4">
        <v>46058</v>
      </c>
      <c r="I1845" t="s">
        <v>1965</v>
      </c>
    </row>
    <row r="1846" spans="1:9" x14ac:dyDescent="0.25">
      <c r="A1846" t="s">
        <v>117</v>
      </c>
      <c r="B1846" t="s">
        <v>69</v>
      </c>
      <c r="C1846" s="3">
        <v>315</v>
      </c>
      <c r="D1846" t="s">
        <v>8</v>
      </c>
      <c r="E1846">
        <v>548065</v>
      </c>
      <c r="F1846" t="s">
        <v>1562</v>
      </c>
      <c r="G1846" t="s">
        <v>1938</v>
      </c>
      <c r="H1846" s="4">
        <v>46059</v>
      </c>
      <c r="I1846" t="s">
        <v>1965</v>
      </c>
    </row>
    <row r="1847" spans="1:9" x14ac:dyDescent="0.25">
      <c r="A1847" t="s">
        <v>114</v>
      </c>
      <c r="B1847" t="s">
        <v>69</v>
      </c>
      <c r="C1847" s="3">
        <v>20</v>
      </c>
      <c r="D1847" t="s">
        <v>9</v>
      </c>
      <c r="E1847">
        <v>549105</v>
      </c>
      <c r="F1847" t="s">
        <v>1562</v>
      </c>
      <c r="H1847" s="4">
        <v>46061</v>
      </c>
      <c r="I1847" t="s">
        <v>1965</v>
      </c>
    </row>
    <row r="1848" spans="1:9" x14ac:dyDescent="0.25">
      <c r="A1848" t="s">
        <v>116</v>
      </c>
      <c r="B1848" t="s">
        <v>69</v>
      </c>
      <c r="C1848" s="3">
        <v>275</v>
      </c>
      <c r="D1848" t="s">
        <v>9</v>
      </c>
      <c r="E1848">
        <v>548329</v>
      </c>
      <c r="F1848" t="s">
        <v>1562</v>
      </c>
      <c r="H1848" s="4">
        <v>46070</v>
      </c>
      <c r="I1848" t="s">
        <v>1965</v>
      </c>
    </row>
    <row r="1849" spans="1:9" x14ac:dyDescent="0.25">
      <c r="A1849" t="s">
        <v>114</v>
      </c>
      <c r="B1849" t="s">
        <v>69</v>
      </c>
      <c r="C1849" s="3">
        <v>10</v>
      </c>
      <c r="D1849" t="s">
        <v>9</v>
      </c>
      <c r="E1849">
        <v>548331</v>
      </c>
      <c r="F1849" t="s">
        <v>1562</v>
      </c>
      <c r="H1849" s="4">
        <v>46070</v>
      </c>
      <c r="I1849" t="s">
        <v>1965</v>
      </c>
    </row>
    <row r="1850" spans="1:9" x14ac:dyDescent="0.25">
      <c r="A1850" t="s">
        <v>48</v>
      </c>
      <c r="B1850" t="s">
        <v>69</v>
      </c>
      <c r="C1850" s="3">
        <v>1000</v>
      </c>
      <c r="D1850" t="s">
        <v>19</v>
      </c>
      <c r="E1850">
        <v>548442</v>
      </c>
      <c r="F1850" t="s">
        <v>1562</v>
      </c>
      <c r="H1850" s="4">
        <v>46077</v>
      </c>
      <c r="I1850" t="s">
        <v>1965</v>
      </c>
    </row>
    <row r="1851" spans="1:9" x14ac:dyDescent="0.25">
      <c r="A1851" t="s">
        <v>115</v>
      </c>
      <c r="B1851" t="s">
        <v>69</v>
      </c>
      <c r="C1851" s="3">
        <v>1806</v>
      </c>
      <c r="D1851" t="s">
        <v>9</v>
      </c>
      <c r="E1851">
        <v>548807</v>
      </c>
      <c r="F1851" t="s">
        <v>1562</v>
      </c>
      <c r="H1851" s="4">
        <v>46078</v>
      </c>
      <c r="I1851" t="s">
        <v>1965</v>
      </c>
    </row>
    <row r="1852" spans="1:9" x14ac:dyDescent="0.25">
      <c r="A1852" t="s">
        <v>70</v>
      </c>
      <c r="B1852" t="s">
        <v>69</v>
      </c>
      <c r="C1852" s="3">
        <v>38.15</v>
      </c>
      <c r="D1852" t="s">
        <v>38</v>
      </c>
      <c r="E1852">
        <v>548872</v>
      </c>
      <c r="F1852" t="s">
        <v>1562</v>
      </c>
      <c r="H1852" s="4">
        <v>46080</v>
      </c>
      <c r="I1852" t="s">
        <v>1965</v>
      </c>
    </row>
    <row r="1853" spans="1:9" x14ac:dyDescent="0.25">
      <c r="A1853" t="s">
        <v>1939</v>
      </c>
      <c r="B1853" t="s">
        <v>69</v>
      </c>
      <c r="C1853" s="3">
        <v>1000</v>
      </c>
      <c r="D1853" t="s">
        <v>9</v>
      </c>
      <c r="E1853">
        <v>549301</v>
      </c>
      <c r="F1853" t="s">
        <v>1562</v>
      </c>
      <c r="G1853" t="s">
        <v>1940</v>
      </c>
      <c r="H1853" s="4">
        <v>46084</v>
      </c>
      <c r="I1853" t="s">
        <v>1965</v>
      </c>
    </row>
    <row r="1854" spans="1:9" x14ac:dyDescent="0.25">
      <c r="A1854" t="s">
        <v>1941</v>
      </c>
      <c r="B1854" t="s">
        <v>69</v>
      </c>
      <c r="C1854" s="3">
        <v>45</v>
      </c>
      <c r="D1854" t="s">
        <v>9</v>
      </c>
      <c r="E1854">
        <v>549302</v>
      </c>
      <c r="F1854" t="s">
        <v>1562</v>
      </c>
      <c r="G1854" t="s">
        <v>1942</v>
      </c>
      <c r="H1854" s="4">
        <v>46086</v>
      </c>
      <c r="I1854" t="s">
        <v>1965</v>
      </c>
    </row>
    <row r="1855" spans="1:9" x14ac:dyDescent="0.25">
      <c r="A1855" t="s">
        <v>113</v>
      </c>
      <c r="B1855" t="s">
        <v>69</v>
      </c>
      <c r="C1855" s="3">
        <v>300</v>
      </c>
      <c r="D1855" t="s">
        <v>112</v>
      </c>
      <c r="E1855">
        <v>549226</v>
      </c>
      <c r="F1855" t="s">
        <v>1562</v>
      </c>
      <c r="G1855" t="s">
        <v>1943</v>
      </c>
      <c r="H1855" s="4">
        <v>46086</v>
      </c>
      <c r="I1855" t="s">
        <v>1965</v>
      </c>
    </row>
    <row r="1856" spans="1:9" x14ac:dyDescent="0.25">
      <c r="A1856" t="s">
        <v>98</v>
      </c>
      <c r="B1856" t="s">
        <v>69</v>
      </c>
      <c r="C1856" s="3">
        <v>768</v>
      </c>
      <c r="D1856" t="s">
        <v>18</v>
      </c>
      <c r="E1856">
        <v>549230</v>
      </c>
      <c r="F1856" t="s">
        <v>1562</v>
      </c>
      <c r="G1856" t="s">
        <v>1944</v>
      </c>
      <c r="H1856" s="4">
        <v>46086</v>
      </c>
      <c r="I1856" t="s">
        <v>1965</v>
      </c>
    </row>
    <row r="1857" spans="1:9" x14ac:dyDescent="0.25">
      <c r="A1857" t="s">
        <v>1945</v>
      </c>
      <c r="B1857" t="s">
        <v>69</v>
      </c>
      <c r="C1857" s="3">
        <v>185</v>
      </c>
      <c r="D1857" t="s">
        <v>9</v>
      </c>
      <c r="E1857">
        <v>549303</v>
      </c>
      <c r="F1857" t="s">
        <v>1562</v>
      </c>
      <c r="G1857" t="s">
        <v>1946</v>
      </c>
      <c r="H1857" s="4">
        <v>46090</v>
      </c>
      <c r="I1857" t="s">
        <v>1965</v>
      </c>
    </row>
    <row r="1858" spans="1:9" x14ac:dyDescent="0.25">
      <c r="A1858" t="s">
        <v>2043</v>
      </c>
      <c r="B1858" t="s">
        <v>69</v>
      </c>
      <c r="C1858" s="3">
        <v>521</v>
      </c>
      <c r="D1858" t="s">
        <v>2044</v>
      </c>
      <c r="E1858">
        <v>549381</v>
      </c>
      <c r="F1858" t="s">
        <v>1562</v>
      </c>
      <c r="G1858" t="s">
        <v>2045</v>
      </c>
      <c r="H1858" s="4">
        <v>46092</v>
      </c>
      <c r="I1858" t="s">
        <v>1965</v>
      </c>
    </row>
    <row r="1859" spans="1:9" x14ac:dyDescent="0.25">
      <c r="A1859" t="s">
        <v>114</v>
      </c>
      <c r="B1859" t="s">
        <v>69</v>
      </c>
      <c r="C1859" s="3">
        <v>1215</v>
      </c>
      <c r="D1859" t="s">
        <v>9</v>
      </c>
      <c r="E1859">
        <v>549358</v>
      </c>
      <c r="F1859" t="s">
        <v>1562</v>
      </c>
      <c r="H1859" s="4">
        <v>46094</v>
      </c>
      <c r="I1859" t="s">
        <v>1965</v>
      </c>
    </row>
    <row r="1860" spans="1:9" x14ac:dyDescent="0.25">
      <c r="A1860" t="s">
        <v>14</v>
      </c>
      <c r="B1860" t="s">
        <v>59</v>
      </c>
      <c r="C1860" s="3">
        <v>20</v>
      </c>
      <c r="D1860" t="s">
        <v>17</v>
      </c>
      <c r="E1860">
        <v>543291</v>
      </c>
      <c r="F1860" t="s">
        <v>1562</v>
      </c>
      <c r="H1860" s="4">
        <v>45937</v>
      </c>
      <c r="I1860" t="s">
        <v>1966</v>
      </c>
    </row>
    <row r="1861" spans="1:9" x14ac:dyDescent="0.25">
      <c r="A1861" t="s">
        <v>67</v>
      </c>
      <c r="B1861" t="s">
        <v>59</v>
      </c>
      <c r="C1861" s="3">
        <v>20</v>
      </c>
      <c r="D1861" t="s">
        <v>17</v>
      </c>
      <c r="E1861">
        <v>543321</v>
      </c>
      <c r="F1861" t="s">
        <v>1562</v>
      </c>
      <c r="H1861" s="4">
        <v>45939</v>
      </c>
      <c r="I1861" t="s">
        <v>1966</v>
      </c>
    </row>
    <row r="1862" spans="1:9" x14ac:dyDescent="0.25">
      <c r="A1862" t="s">
        <v>66</v>
      </c>
      <c r="B1862" t="s">
        <v>59</v>
      </c>
      <c r="C1862" s="3">
        <v>20</v>
      </c>
      <c r="D1862" t="s">
        <v>17</v>
      </c>
      <c r="E1862">
        <v>543339</v>
      </c>
      <c r="F1862" t="s">
        <v>1562</v>
      </c>
      <c r="H1862" s="4">
        <v>45940</v>
      </c>
      <c r="I1862" t="s">
        <v>1966</v>
      </c>
    </row>
    <row r="1863" spans="1:9" x14ac:dyDescent="0.25">
      <c r="A1863" t="s">
        <v>65</v>
      </c>
      <c r="B1863" t="s">
        <v>59</v>
      </c>
      <c r="C1863" s="3">
        <v>20</v>
      </c>
      <c r="D1863" t="s">
        <v>17</v>
      </c>
      <c r="E1863">
        <v>543340</v>
      </c>
      <c r="F1863" t="s">
        <v>1562</v>
      </c>
      <c r="H1863" s="4">
        <v>45940</v>
      </c>
      <c r="I1863" t="s">
        <v>1966</v>
      </c>
    </row>
    <row r="1864" spans="1:9" x14ac:dyDescent="0.25">
      <c r="A1864" t="s">
        <v>60</v>
      </c>
      <c r="B1864" t="s">
        <v>59</v>
      </c>
      <c r="C1864" s="3">
        <v>20</v>
      </c>
      <c r="D1864" t="s">
        <v>17</v>
      </c>
      <c r="E1864">
        <v>543498</v>
      </c>
      <c r="F1864" t="s">
        <v>1562</v>
      </c>
      <c r="G1864" t="s">
        <v>1947</v>
      </c>
      <c r="H1864" s="4">
        <v>45941</v>
      </c>
      <c r="I1864" t="s">
        <v>1966</v>
      </c>
    </row>
    <row r="1865" spans="1:9" x14ac:dyDescent="0.25">
      <c r="A1865" t="s">
        <v>68</v>
      </c>
      <c r="B1865" t="s">
        <v>59</v>
      </c>
      <c r="C1865" s="3">
        <v>20</v>
      </c>
      <c r="D1865" t="s">
        <v>17</v>
      </c>
      <c r="E1865">
        <v>543403</v>
      </c>
      <c r="F1865" t="s">
        <v>1562</v>
      </c>
      <c r="G1865" t="s">
        <v>1948</v>
      </c>
      <c r="H1865" s="4">
        <v>45945</v>
      </c>
      <c r="I1865" t="s">
        <v>1966</v>
      </c>
    </row>
    <row r="1866" spans="1:9" x14ac:dyDescent="0.25">
      <c r="A1866" t="s">
        <v>63</v>
      </c>
      <c r="B1866" t="s">
        <v>59</v>
      </c>
      <c r="C1866" s="3">
        <v>20</v>
      </c>
      <c r="D1866" t="s">
        <v>17</v>
      </c>
      <c r="E1866">
        <v>543932</v>
      </c>
      <c r="F1866" t="s">
        <v>1562</v>
      </c>
      <c r="G1866" t="s">
        <v>1949</v>
      </c>
      <c r="H1866" s="4">
        <v>45947</v>
      </c>
      <c r="I1866" t="s">
        <v>1966</v>
      </c>
    </row>
    <row r="1867" spans="1:9" x14ac:dyDescent="0.25">
      <c r="A1867" t="s">
        <v>14</v>
      </c>
      <c r="B1867" t="s">
        <v>59</v>
      </c>
      <c r="C1867" s="3">
        <v>20</v>
      </c>
      <c r="D1867" t="s">
        <v>17</v>
      </c>
      <c r="E1867">
        <v>544000</v>
      </c>
      <c r="F1867" t="s">
        <v>1562</v>
      </c>
      <c r="H1867" s="4">
        <v>45951</v>
      </c>
      <c r="I1867" t="s">
        <v>1966</v>
      </c>
    </row>
    <row r="1868" spans="1:9" x14ac:dyDescent="0.25">
      <c r="A1868" t="s">
        <v>61</v>
      </c>
      <c r="B1868" t="s">
        <v>59</v>
      </c>
      <c r="C1868" s="3">
        <v>20</v>
      </c>
      <c r="D1868" t="s">
        <v>17</v>
      </c>
      <c r="E1868">
        <v>543563</v>
      </c>
      <c r="F1868" t="s">
        <v>1562</v>
      </c>
      <c r="G1868" t="s">
        <v>1950</v>
      </c>
      <c r="H1868" s="4">
        <v>45951</v>
      </c>
      <c r="I1868" t="s">
        <v>1966</v>
      </c>
    </row>
    <row r="1869" spans="1:9" x14ac:dyDescent="0.25">
      <c r="A1869" t="s">
        <v>64</v>
      </c>
      <c r="B1869" t="s">
        <v>59</v>
      </c>
      <c r="C1869" s="3">
        <v>20</v>
      </c>
      <c r="D1869" t="s">
        <v>17</v>
      </c>
      <c r="E1869">
        <v>543584</v>
      </c>
      <c r="F1869" t="s">
        <v>1562</v>
      </c>
      <c r="H1869" s="4">
        <v>45952</v>
      </c>
      <c r="I1869" t="s">
        <v>1966</v>
      </c>
    </row>
    <row r="1870" spans="1:9" x14ac:dyDescent="0.25">
      <c r="A1870" t="s">
        <v>14</v>
      </c>
      <c r="B1870" t="s">
        <v>59</v>
      </c>
      <c r="C1870" s="3">
        <v>20</v>
      </c>
      <c r="D1870" t="s">
        <v>17</v>
      </c>
      <c r="E1870">
        <v>543926</v>
      </c>
      <c r="F1870" t="s">
        <v>1562</v>
      </c>
      <c r="H1870" s="4">
        <v>45953</v>
      </c>
      <c r="I1870" t="s">
        <v>1966</v>
      </c>
    </row>
    <row r="1871" spans="1:9" x14ac:dyDescent="0.25">
      <c r="A1871" t="s">
        <v>62</v>
      </c>
      <c r="B1871" t="s">
        <v>59</v>
      </c>
      <c r="C1871" s="3">
        <v>40</v>
      </c>
      <c r="D1871" t="s">
        <v>17</v>
      </c>
      <c r="E1871">
        <v>543998</v>
      </c>
      <c r="F1871" t="s">
        <v>1562</v>
      </c>
      <c r="G1871" t="s">
        <v>1951</v>
      </c>
      <c r="H1871" s="4">
        <v>45957</v>
      </c>
      <c r="I1871" t="s">
        <v>1966</v>
      </c>
    </row>
    <row r="1872" spans="1:9" x14ac:dyDescent="0.25">
      <c r="C1872" s="3"/>
    </row>
    <row r="1873" spans="3:3" x14ac:dyDescent="0.25">
      <c r="C1873" s="3"/>
    </row>
    <row r="1874" spans="3:3" x14ac:dyDescent="0.25">
      <c r="C1874" s="3"/>
    </row>
    <row r="1875" spans="3:3" x14ac:dyDescent="0.25">
      <c r="C1875" s="3"/>
    </row>
    <row r="1876" spans="3:3" x14ac:dyDescent="0.25">
      <c r="C1876" s="3"/>
    </row>
    <row r="1877" spans="3:3" x14ac:dyDescent="0.25">
      <c r="C1877" s="3"/>
    </row>
    <row r="1878" spans="3:3" x14ac:dyDescent="0.25">
      <c r="C1878" s="3"/>
    </row>
    <row r="1879" spans="3:3" x14ac:dyDescent="0.25">
      <c r="C1879" s="3"/>
    </row>
    <row r="1880" spans="3:3" x14ac:dyDescent="0.25">
      <c r="C1880" s="3"/>
    </row>
    <row r="1881" spans="3:3" x14ac:dyDescent="0.25">
      <c r="C1881" s="3"/>
    </row>
    <row r="1882" spans="3:3" x14ac:dyDescent="0.25">
      <c r="C1882" s="3"/>
    </row>
    <row r="1883" spans="3:3" x14ac:dyDescent="0.25">
      <c r="C1883" s="3"/>
    </row>
    <row r="1884" spans="3:3" x14ac:dyDescent="0.25">
      <c r="C1884" s="3"/>
    </row>
    <row r="1885" spans="3:3" x14ac:dyDescent="0.25">
      <c r="C1885" s="3"/>
    </row>
    <row r="1886" spans="3:3" x14ac:dyDescent="0.25">
      <c r="C1886" s="3"/>
    </row>
    <row r="1887" spans="3:3" x14ac:dyDescent="0.25">
      <c r="C1887" s="3"/>
    </row>
    <row r="1888" spans="3:3" x14ac:dyDescent="0.25">
      <c r="C1888" s="3"/>
    </row>
    <row r="1889" spans="3:3" x14ac:dyDescent="0.25">
      <c r="C1889" s="3"/>
    </row>
    <row r="1890" spans="3:3" x14ac:dyDescent="0.25">
      <c r="C1890" s="3"/>
    </row>
    <row r="1891" spans="3:3" x14ac:dyDescent="0.25">
      <c r="C1891" s="3"/>
    </row>
    <row r="1892" spans="3:3" x14ac:dyDescent="0.25">
      <c r="C1892" s="3"/>
    </row>
    <row r="1893" spans="3:3" x14ac:dyDescent="0.25">
      <c r="C1893" s="3"/>
    </row>
    <row r="1894" spans="3:3" x14ac:dyDescent="0.25">
      <c r="C1894" s="3"/>
    </row>
    <row r="1895" spans="3:3" x14ac:dyDescent="0.25">
      <c r="C1895" s="3"/>
    </row>
    <row r="1896" spans="3:3" x14ac:dyDescent="0.25">
      <c r="C1896" s="3"/>
    </row>
    <row r="1897" spans="3:3" x14ac:dyDescent="0.25">
      <c r="C1897" s="3"/>
    </row>
    <row r="1898" spans="3:3" x14ac:dyDescent="0.25">
      <c r="C1898" s="3"/>
    </row>
    <row r="1899" spans="3:3" x14ac:dyDescent="0.25">
      <c r="C1899" s="3"/>
    </row>
    <row r="1900" spans="3:3" x14ac:dyDescent="0.25">
      <c r="C1900" s="3"/>
    </row>
    <row r="1901" spans="3:3" x14ac:dyDescent="0.25">
      <c r="C1901" s="3"/>
    </row>
    <row r="1902" spans="3:3" x14ac:dyDescent="0.25">
      <c r="C1902" s="3"/>
    </row>
    <row r="1903" spans="3:3" x14ac:dyDescent="0.25">
      <c r="C1903" s="3"/>
    </row>
    <row r="1904" spans="3:3" x14ac:dyDescent="0.25">
      <c r="C1904" s="3"/>
    </row>
    <row r="1905" spans="3:3" x14ac:dyDescent="0.25">
      <c r="C1905" s="3"/>
    </row>
    <row r="1906" spans="3:3" x14ac:dyDescent="0.25">
      <c r="C1906" s="3"/>
    </row>
    <row r="1907" spans="3:3" x14ac:dyDescent="0.25">
      <c r="C1907" s="3"/>
    </row>
    <row r="1908" spans="3:3" x14ac:dyDescent="0.25">
      <c r="C1908" s="3"/>
    </row>
    <row r="1909" spans="3:3" x14ac:dyDescent="0.25">
      <c r="C1909" s="3"/>
    </row>
    <row r="1910" spans="3:3" x14ac:dyDescent="0.25">
      <c r="C1910" s="3"/>
    </row>
    <row r="1911" spans="3:3" x14ac:dyDescent="0.25">
      <c r="C1911" s="3"/>
    </row>
    <row r="1912" spans="3:3" x14ac:dyDescent="0.25">
      <c r="C1912" s="3"/>
    </row>
    <row r="1913" spans="3:3" x14ac:dyDescent="0.25">
      <c r="C1913" s="3"/>
    </row>
    <row r="1914" spans="3:3" x14ac:dyDescent="0.25">
      <c r="C1914" s="3"/>
    </row>
    <row r="1915" spans="3:3" x14ac:dyDescent="0.25">
      <c r="C1915" s="3"/>
    </row>
    <row r="1916" spans="3:3" x14ac:dyDescent="0.25">
      <c r="C1916" s="3"/>
    </row>
    <row r="1917" spans="3:3" x14ac:dyDescent="0.25">
      <c r="C1917" s="3"/>
    </row>
    <row r="1918" spans="3:3" x14ac:dyDescent="0.25">
      <c r="C1918" s="3"/>
    </row>
    <row r="1919" spans="3:3" x14ac:dyDescent="0.25">
      <c r="C1919" s="3"/>
    </row>
    <row r="1920" spans="3:3" x14ac:dyDescent="0.25">
      <c r="C1920" s="3"/>
    </row>
    <row r="1921" spans="3:3" x14ac:dyDescent="0.25">
      <c r="C1921" s="3"/>
    </row>
    <row r="1922" spans="3:3" x14ac:dyDescent="0.25">
      <c r="C1922" s="3"/>
    </row>
    <row r="1923" spans="3:3" x14ac:dyDescent="0.25">
      <c r="C1923" s="3"/>
    </row>
    <row r="1924" spans="3:3" x14ac:dyDescent="0.25">
      <c r="C1924" s="3"/>
    </row>
    <row r="1925" spans="3:3" x14ac:dyDescent="0.25">
      <c r="C1925" s="3"/>
    </row>
    <row r="1926" spans="3:3" x14ac:dyDescent="0.25">
      <c r="C1926" s="3"/>
    </row>
    <row r="1927" spans="3:3" x14ac:dyDescent="0.25">
      <c r="C1927" s="3"/>
    </row>
    <row r="1928" spans="3:3" x14ac:dyDescent="0.25">
      <c r="C1928" s="3"/>
    </row>
    <row r="1929" spans="3:3" x14ac:dyDescent="0.25">
      <c r="C1929" s="3"/>
    </row>
    <row r="1930" spans="3:3" x14ac:dyDescent="0.25">
      <c r="C1930" s="3"/>
    </row>
    <row r="1931" spans="3:3" x14ac:dyDescent="0.25">
      <c r="C1931" s="3"/>
    </row>
    <row r="1932" spans="3:3" x14ac:dyDescent="0.25">
      <c r="C1932" s="3"/>
    </row>
    <row r="1933" spans="3:3" x14ac:dyDescent="0.25">
      <c r="C1933" s="3"/>
    </row>
    <row r="1934" spans="3:3" x14ac:dyDescent="0.25">
      <c r="C1934" s="3"/>
    </row>
    <row r="1935" spans="3:3" x14ac:dyDescent="0.25">
      <c r="C1935" s="3"/>
    </row>
    <row r="1936" spans="3:3" x14ac:dyDescent="0.25">
      <c r="C1936" s="3"/>
    </row>
    <row r="1937" spans="3:3" x14ac:dyDescent="0.25">
      <c r="C1937" s="3"/>
    </row>
    <row r="1938" spans="3:3" x14ac:dyDescent="0.25">
      <c r="C1938" s="3"/>
    </row>
    <row r="1939" spans="3:3" x14ac:dyDescent="0.25">
      <c r="C1939" s="3"/>
    </row>
    <row r="1940" spans="3:3" x14ac:dyDescent="0.25">
      <c r="C1940" s="3"/>
    </row>
    <row r="1941" spans="3:3" x14ac:dyDescent="0.25">
      <c r="C1941" s="3"/>
    </row>
    <row r="1942" spans="3:3" x14ac:dyDescent="0.25">
      <c r="C1942" s="3"/>
    </row>
    <row r="1943" spans="3:3" x14ac:dyDescent="0.25">
      <c r="C1943" s="3"/>
    </row>
    <row r="1944" spans="3:3" x14ac:dyDescent="0.25">
      <c r="C1944" s="3"/>
    </row>
    <row r="1945" spans="3:3" x14ac:dyDescent="0.25">
      <c r="C1945" s="3"/>
    </row>
    <row r="1946" spans="3:3" x14ac:dyDescent="0.25">
      <c r="C1946" s="3"/>
    </row>
    <row r="1947" spans="3:3" x14ac:dyDescent="0.25">
      <c r="C1947" s="3"/>
    </row>
    <row r="1948" spans="3:3" x14ac:dyDescent="0.25">
      <c r="C1948" s="3"/>
    </row>
    <row r="1949" spans="3:3" x14ac:dyDescent="0.25">
      <c r="C1949" s="3"/>
    </row>
    <row r="1950" spans="3:3" x14ac:dyDescent="0.25">
      <c r="C1950" s="3"/>
    </row>
    <row r="1951" spans="3:3" x14ac:dyDescent="0.25">
      <c r="C1951" s="3"/>
    </row>
    <row r="1952" spans="3:3" x14ac:dyDescent="0.25">
      <c r="C1952" s="3"/>
    </row>
    <row r="1953" spans="3:3" x14ac:dyDescent="0.25">
      <c r="C1953" s="3"/>
    </row>
    <row r="1954" spans="3:3" x14ac:dyDescent="0.25">
      <c r="C1954" s="3"/>
    </row>
    <row r="1955" spans="3:3" x14ac:dyDescent="0.25">
      <c r="C1955" s="3"/>
    </row>
    <row r="1956" spans="3:3" x14ac:dyDescent="0.25">
      <c r="C1956" s="3"/>
    </row>
    <row r="1957" spans="3:3" x14ac:dyDescent="0.25">
      <c r="C1957" s="3"/>
    </row>
    <row r="1958" spans="3:3" x14ac:dyDescent="0.25">
      <c r="C1958" s="3"/>
    </row>
    <row r="1959" spans="3:3" x14ac:dyDescent="0.25">
      <c r="C1959" s="3"/>
    </row>
    <row r="1960" spans="3:3" x14ac:dyDescent="0.25">
      <c r="C1960" s="3"/>
    </row>
    <row r="1961" spans="3:3" x14ac:dyDescent="0.25">
      <c r="C1961" s="3"/>
    </row>
    <row r="1962" spans="3:3" x14ac:dyDescent="0.25">
      <c r="C1962" s="3"/>
    </row>
    <row r="1963" spans="3:3" x14ac:dyDescent="0.25">
      <c r="C1963" s="3"/>
    </row>
    <row r="1964" spans="3:3" x14ac:dyDescent="0.25">
      <c r="C1964" s="3"/>
    </row>
    <row r="1965" spans="3:3" x14ac:dyDescent="0.25">
      <c r="C1965" s="3"/>
    </row>
    <row r="1966" spans="3:3" x14ac:dyDescent="0.25">
      <c r="C1966" s="3"/>
    </row>
    <row r="1967" spans="3:3" x14ac:dyDescent="0.25">
      <c r="C1967" s="3"/>
    </row>
    <row r="1968" spans="3:3" x14ac:dyDescent="0.25">
      <c r="C1968" s="3"/>
    </row>
    <row r="1969" spans="3:3" x14ac:dyDescent="0.25">
      <c r="C1969" s="3"/>
    </row>
    <row r="1970" spans="3:3" x14ac:dyDescent="0.25">
      <c r="C1970" s="3"/>
    </row>
    <row r="1971" spans="3:3" x14ac:dyDescent="0.25">
      <c r="C1971" s="3"/>
    </row>
    <row r="1972" spans="3:3" x14ac:dyDescent="0.25">
      <c r="C1972" s="3"/>
    </row>
    <row r="1973" spans="3:3" x14ac:dyDescent="0.25">
      <c r="C1973" s="3"/>
    </row>
    <row r="1974" spans="3:3" x14ac:dyDescent="0.25">
      <c r="C1974" s="3"/>
    </row>
    <row r="1975" spans="3:3" x14ac:dyDescent="0.25">
      <c r="C1975" s="3"/>
    </row>
    <row r="1976" spans="3:3" x14ac:dyDescent="0.25">
      <c r="C1976" s="3"/>
    </row>
    <row r="1977" spans="3:3" x14ac:dyDescent="0.25">
      <c r="C1977" s="3"/>
    </row>
    <row r="1978" spans="3:3" x14ac:dyDescent="0.25">
      <c r="C1978" s="3"/>
    </row>
    <row r="1979" spans="3:3" x14ac:dyDescent="0.25">
      <c r="C1979" s="3"/>
    </row>
    <row r="1980" spans="3:3" x14ac:dyDescent="0.25">
      <c r="C1980" s="3"/>
    </row>
    <row r="1981" spans="3:3" x14ac:dyDescent="0.25">
      <c r="C1981" s="3"/>
    </row>
    <row r="1982" spans="3:3" x14ac:dyDescent="0.25">
      <c r="C1982" s="3"/>
    </row>
    <row r="1983" spans="3:3" x14ac:dyDescent="0.25">
      <c r="C1983" s="3"/>
    </row>
    <row r="1984" spans="3:3" x14ac:dyDescent="0.25">
      <c r="C1984" s="3"/>
    </row>
    <row r="1985" spans="3:3" x14ac:dyDescent="0.25">
      <c r="C1985" s="3"/>
    </row>
    <row r="1986" spans="3:3" x14ac:dyDescent="0.25">
      <c r="C1986" s="3"/>
    </row>
    <row r="1987" spans="3:3" x14ac:dyDescent="0.25">
      <c r="C1987" s="3"/>
    </row>
    <row r="1988" spans="3:3" x14ac:dyDescent="0.25">
      <c r="C1988" s="3"/>
    </row>
    <row r="1989" spans="3:3" x14ac:dyDescent="0.25">
      <c r="C1989" s="3"/>
    </row>
    <row r="1990" spans="3:3" x14ac:dyDescent="0.25">
      <c r="C1990" s="3"/>
    </row>
    <row r="1991" spans="3:3" x14ac:dyDescent="0.25">
      <c r="C1991" s="3"/>
    </row>
    <row r="1992" spans="3:3" x14ac:dyDescent="0.25">
      <c r="C1992" s="3"/>
    </row>
    <row r="1993" spans="3:3" x14ac:dyDescent="0.25">
      <c r="C1993" s="3"/>
    </row>
    <row r="1994" spans="3:3" x14ac:dyDescent="0.25">
      <c r="C1994" s="3"/>
    </row>
    <row r="1995" spans="3:3" x14ac:dyDescent="0.25">
      <c r="C1995" s="3"/>
    </row>
    <row r="1996" spans="3:3" x14ac:dyDescent="0.25">
      <c r="C1996" s="3"/>
    </row>
    <row r="1997" spans="3:3" x14ac:dyDescent="0.25">
      <c r="C1997" s="3"/>
    </row>
    <row r="1998" spans="3:3" x14ac:dyDescent="0.25">
      <c r="C1998" s="3"/>
    </row>
    <row r="1999" spans="3:3" x14ac:dyDescent="0.25">
      <c r="C1999" s="3"/>
    </row>
    <row r="2000" spans="3:3" x14ac:dyDescent="0.25">
      <c r="C2000" s="3"/>
    </row>
    <row r="2001" spans="3:3" x14ac:dyDescent="0.25">
      <c r="C2001" s="3"/>
    </row>
    <row r="2002" spans="3:3" x14ac:dyDescent="0.25">
      <c r="C2002" s="3"/>
    </row>
    <row r="2003" spans="3:3" x14ac:dyDescent="0.25">
      <c r="C2003" s="3"/>
    </row>
    <row r="2004" spans="3:3" x14ac:dyDescent="0.25">
      <c r="C2004" s="3"/>
    </row>
    <row r="2005" spans="3:3" x14ac:dyDescent="0.25">
      <c r="C2005" s="3"/>
    </row>
    <row r="2006" spans="3:3" x14ac:dyDescent="0.25">
      <c r="C2006" s="3"/>
    </row>
    <row r="2007" spans="3:3" x14ac:dyDescent="0.25">
      <c r="C2007" s="3"/>
    </row>
    <row r="2008" spans="3:3" x14ac:dyDescent="0.25">
      <c r="C2008" s="3"/>
    </row>
    <row r="2009" spans="3:3" x14ac:dyDescent="0.25">
      <c r="C2009" s="3"/>
    </row>
    <row r="2010" spans="3:3" x14ac:dyDescent="0.25">
      <c r="C2010" s="3"/>
    </row>
    <row r="2011" spans="3:3" x14ac:dyDescent="0.25">
      <c r="C2011" s="3"/>
    </row>
    <row r="2012" spans="3:3" x14ac:dyDescent="0.25">
      <c r="C2012" s="3"/>
    </row>
    <row r="2013" spans="3:3" x14ac:dyDescent="0.25">
      <c r="C2013" s="3"/>
    </row>
    <row r="2014" spans="3:3" x14ac:dyDescent="0.25">
      <c r="C2014" s="3"/>
    </row>
    <row r="2015" spans="3:3" x14ac:dyDescent="0.25">
      <c r="C2015" s="3"/>
    </row>
    <row r="2016" spans="3:3" x14ac:dyDescent="0.25">
      <c r="C2016" s="3"/>
    </row>
    <row r="2017" spans="3:3" x14ac:dyDescent="0.25">
      <c r="C2017" s="3"/>
    </row>
    <row r="2018" spans="3:3" x14ac:dyDescent="0.25">
      <c r="C2018" s="3"/>
    </row>
    <row r="2019" spans="3:3" x14ac:dyDescent="0.25">
      <c r="C2019" s="3"/>
    </row>
    <row r="2020" spans="3:3" x14ac:dyDescent="0.25">
      <c r="C2020" s="3"/>
    </row>
    <row r="2021" spans="3:3" x14ac:dyDescent="0.25">
      <c r="C2021" s="3"/>
    </row>
    <row r="2022" spans="3:3" x14ac:dyDescent="0.25">
      <c r="C2022" s="3"/>
    </row>
    <row r="2023" spans="3:3" x14ac:dyDescent="0.25">
      <c r="C2023" s="3"/>
    </row>
    <row r="2024" spans="3:3" x14ac:dyDescent="0.25">
      <c r="C2024" s="3"/>
    </row>
    <row r="2025" spans="3:3" x14ac:dyDescent="0.25">
      <c r="C2025" s="3"/>
    </row>
    <row r="2026" spans="3:3" x14ac:dyDescent="0.25">
      <c r="C2026" s="3"/>
    </row>
    <row r="2027" spans="3:3" x14ac:dyDescent="0.25">
      <c r="C2027" s="3"/>
    </row>
    <row r="2028" spans="3:3" x14ac:dyDescent="0.25">
      <c r="C2028" s="3"/>
    </row>
    <row r="2029" spans="3:3" x14ac:dyDescent="0.25">
      <c r="C2029" s="3"/>
    </row>
    <row r="2030" spans="3:3" x14ac:dyDescent="0.25">
      <c r="C2030" s="3"/>
    </row>
    <row r="2031" spans="3:3" x14ac:dyDescent="0.25">
      <c r="C2031" s="3"/>
    </row>
    <row r="2032" spans="3:3" x14ac:dyDescent="0.25">
      <c r="C2032" s="3"/>
    </row>
    <row r="2033" spans="3:3" x14ac:dyDescent="0.25">
      <c r="C2033" s="3"/>
    </row>
    <row r="2034" spans="3:3" x14ac:dyDescent="0.25">
      <c r="C2034" s="3"/>
    </row>
    <row r="2035" spans="3:3" x14ac:dyDescent="0.25">
      <c r="C2035" s="3"/>
    </row>
    <row r="2036" spans="3:3" x14ac:dyDescent="0.25">
      <c r="C2036" s="3"/>
    </row>
    <row r="2037" spans="3:3" x14ac:dyDescent="0.25">
      <c r="C2037" s="3"/>
    </row>
    <row r="2038" spans="3:3" x14ac:dyDescent="0.25">
      <c r="C2038" s="3"/>
    </row>
    <row r="2039" spans="3:3" x14ac:dyDescent="0.25">
      <c r="C2039" s="3"/>
    </row>
    <row r="2040" spans="3:3" x14ac:dyDescent="0.25">
      <c r="C2040" s="3"/>
    </row>
    <row r="2041" spans="3:3" x14ac:dyDescent="0.25">
      <c r="C2041" s="3"/>
    </row>
    <row r="2042" spans="3:3" x14ac:dyDescent="0.25">
      <c r="C2042" s="3"/>
    </row>
    <row r="2043" spans="3:3" x14ac:dyDescent="0.25">
      <c r="C2043" s="3"/>
    </row>
    <row r="2044" spans="3:3" x14ac:dyDescent="0.25">
      <c r="C2044" s="3"/>
    </row>
    <row r="2045" spans="3:3" x14ac:dyDescent="0.25">
      <c r="C2045" s="3"/>
    </row>
    <row r="2046" spans="3:3" x14ac:dyDescent="0.25">
      <c r="C2046" s="3"/>
    </row>
    <row r="2047" spans="3:3" x14ac:dyDescent="0.25">
      <c r="C2047" s="3"/>
    </row>
    <row r="2048" spans="3:3" x14ac:dyDescent="0.25">
      <c r="C2048" s="3"/>
    </row>
    <row r="2049" spans="3:3" x14ac:dyDescent="0.25">
      <c r="C2049" s="3"/>
    </row>
    <row r="2050" spans="3:3" x14ac:dyDescent="0.25">
      <c r="C2050" s="3"/>
    </row>
    <row r="2051" spans="3:3" x14ac:dyDescent="0.25">
      <c r="C2051" s="3"/>
    </row>
    <row r="2052" spans="3:3" x14ac:dyDescent="0.25">
      <c r="C2052" s="3"/>
    </row>
    <row r="2053" spans="3:3" x14ac:dyDescent="0.25">
      <c r="C2053" s="3"/>
    </row>
    <row r="2054" spans="3:3" x14ac:dyDescent="0.25">
      <c r="C2054" s="3"/>
    </row>
    <row r="2055" spans="3:3" x14ac:dyDescent="0.25">
      <c r="C2055" s="3"/>
    </row>
    <row r="2056" spans="3:3" x14ac:dyDescent="0.25">
      <c r="C2056" s="3"/>
    </row>
    <row r="2057" spans="3:3" x14ac:dyDescent="0.25">
      <c r="C2057" s="3"/>
    </row>
    <row r="2058" spans="3:3" x14ac:dyDescent="0.25">
      <c r="C2058" s="3"/>
    </row>
    <row r="2059" spans="3:3" x14ac:dyDescent="0.25">
      <c r="C2059" s="3"/>
    </row>
    <row r="2060" spans="3:3" x14ac:dyDescent="0.25">
      <c r="C2060" s="3"/>
    </row>
    <row r="2061" spans="3:3" x14ac:dyDescent="0.25">
      <c r="C2061" s="3"/>
    </row>
    <row r="2062" spans="3:3" x14ac:dyDescent="0.25">
      <c r="C2062" s="3"/>
    </row>
    <row r="2063" spans="3:3" x14ac:dyDescent="0.25">
      <c r="C2063" s="3"/>
    </row>
    <row r="2064" spans="3:3" x14ac:dyDescent="0.25">
      <c r="C2064" s="3"/>
    </row>
    <row r="2065" spans="3:3" x14ac:dyDescent="0.25">
      <c r="C2065" s="3"/>
    </row>
    <row r="2066" spans="3:3" x14ac:dyDescent="0.25">
      <c r="C2066" s="3"/>
    </row>
    <row r="2067" spans="3:3" x14ac:dyDescent="0.25">
      <c r="C2067" s="3"/>
    </row>
    <row r="2068" spans="3:3" x14ac:dyDescent="0.25">
      <c r="C2068" s="3"/>
    </row>
    <row r="2069" spans="3:3" x14ac:dyDescent="0.25">
      <c r="C2069" s="3"/>
    </row>
    <row r="2070" spans="3:3" x14ac:dyDescent="0.25">
      <c r="C2070" s="3"/>
    </row>
    <row r="2071" spans="3:3" x14ac:dyDescent="0.25">
      <c r="C2071" s="3"/>
    </row>
    <row r="2072" spans="3:3" x14ac:dyDescent="0.25">
      <c r="C2072" s="3"/>
    </row>
    <row r="2073" spans="3:3" x14ac:dyDescent="0.25">
      <c r="C2073" s="3"/>
    </row>
    <row r="2074" spans="3:3" x14ac:dyDescent="0.25">
      <c r="C2074" s="3"/>
    </row>
    <row r="2075" spans="3:3" x14ac:dyDescent="0.25">
      <c r="C2075" s="3"/>
    </row>
    <row r="2076" spans="3:3" x14ac:dyDescent="0.25">
      <c r="C2076" s="3"/>
    </row>
    <row r="2077" spans="3:3" x14ac:dyDescent="0.25">
      <c r="C2077" s="3"/>
    </row>
    <row r="2078" spans="3:3" x14ac:dyDescent="0.25">
      <c r="C2078" s="3"/>
    </row>
    <row r="2079" spans="3:3" x14ac:dyDescent="0.25">
      <c r="C2079" s="3"/>
    </row>
    <row r="2080" spans="3:3" x14ac:dyDescent="0.25">
      <c r="C2080" s="3"/>
    </row>
    <row r="2081" spans="3:3" x14ac:dyDescent="0.25">
      <c r="C2081" s="3"/>
    </row>
    <row r="2082" spans="3:3" x14ac:dyDescent="0.25">
      <c r="C2082" s="3"/>
    </row>
    <row r="2083" spans="3:3" x14ac:dyDescent="0.25">
      <c r="C2083" s="3"/>
    </row>
    <row r="2084" spans="3:3" x14ac:dyDescent="0.25">
      <c r="C2084" s="3"/>
    </row>
    <row r="2085" spans="3:3" x14ac:dyDescent="0.25">
      <c r="C2085" s="3"/>
    </row>
    <row r="2086" spans="3:3" x14ac:dyDescent="0.25">
      <c r="C2086" s="3"/>
    </row>
    <row r="2087" spans="3:3" x14ac:dyDescent="0.25">
      <c r="C2087" s="3"/>
    </row>
    <row r="2088" spans="3:3" x14ac:dyDescent="0.25">
      <c r="C2088" s="3"/>
    </row>
    <row r="2089" spans="3:3" x14ac:dyDescent="0.25">
      <c r="C2089" s="3"/>
    </row>
    <row r="2090" spans="3:3" x14ac:dyDescent="0.25">
      <c r="C2090" s="3"/>
    </row>
    <row r="2091" spans="3:3" x14ac:dyDescent="0.25">
      <c r="C2091" s="3"/>
    </row>
    <row r="2092" spans="3:3" x14ac:dyDescent="0.25">
      <c r="C2092" s="3"/>
    </row>
    <row r="2093" spans="3:3" x14ac:dyDescent="0.25">
      <c r="C2093" s="3"/>
    </row>
    <row r="2094" spans="3:3" x14ac:dyDescent="0.25">
      <c r="C2094" s="3"/>
    </row>
    <row r="2095" spans="3:3" x14ac:dyDescent="0.25">
      <c r="C2095" s="3"/>
    </row>
    <row r="2096" spans="3:3" x14ac:dyDescent="0.25">
      <c r="C2096" s="3"/>
    </row>
    <row r="2097" spans="3:3" x14ac:dyDescent="0.25">
      <c r="C2097" s="3"/>
    </row>
    <row r="2098" spans="3:3" x14ac:dyDescent="0.25">
      <c r="C2098" s="3"/>
    </row>
    <row r="2099" spans="3:3" x14ac:dyDescent="0.25">
      <c r="C2099" s="3"/>
    </row>
    <row r="2100" spans="3:3" x14ac:dyDescent="0.25">
      <c r="C2100" s="3"/>
    </row>
    <row r="2101" spans="3:3" x14ac:dyDescent="0.25">
      <c r="C2101" s="3"/>
    </row>
    <row r="2102" spans="3:3" x14ac:dyDescent="0.25">
      <c r="C2102" s="3"/>
    </row>
    <row r="2103" spans="3:3" x14ac:dyDescent="0.25">
      <c r="C2103" s="3"/>
    </row>
    <row r="2104" spans="3:3" x14ac:dyDescent="0.25">
      <c r="C2104" s="3"/>
    </row>
    <row r="2105" spans="3:3" x14ac:dyDescent="0.25">
      <c r="C2105" s="3"/>
    </row>
    <row r="2106" spans="3:3" x14ac:dyDescent="0.25">
      <c r="C2106" s="3"/>
    </row>
    <row r="2107" spans="3:3" x14ac:dyDescent="0.25">
      <c r="C2107" s="3"/>
    </row>
    <row r="2108" spans="3:3" x14ac:dyDescent="0.25">
      <c r="C2108" s="3"/>
    </row>
    <row r="2109" spans="3:3" x14ac:dyDescent="0.25">
      <c r="C2109" s="3"/>
    </row>
    <row r="2110" spans="3:3" x14ac:dyDescent="0.25">
      <c r="C2110" s="3"/>
    </row>
    <row r="2111" spans="3:3" x14ac:dyDescent="0.25">
      <c r="C2111" s="3"/>
    </row>
    <row r="2112" spans="3:3" x14ac:dyDescent="0.25">
      <c r="C2112" s="3"/>
    </row>
    <row r="2113" spans="3:3" x14ac:dyDescent="0.25">
      <c r="C2113" s="3"/>
    </row>
    <row r="2114" spans="3:3" x14ac:dyDescent="0.25">
      <c r="C2114" s="3"/>
    </row>
    <row r="2115" spans="3:3" x14ac:dyDescent="0.25">
      <c r="C2115" s="3"/>
    </row>
    <row r="2116" spans="3:3" x14ac:dyDescent="0.25">
      <c r="C2116" s="3"/>
    </row>
    <row r="2117" spans="3:3" x14ac:dyDescent="0.25">
      <c r="C2117" s="3"/>
    </row>
    <row r="2118" spans="3:3" x14ac:dyDescent="0.25">
      <c r="C2118" s="3"/>
    </row>
    <row r="2119" spans="3:3" x14ac:dyDescent="0.25">
      <c r="C2119" s="3"/>
    </row>
    <row r="2120" spans="3:3" x14ac:dyDescent="0.25">
      <c r="C2120" s="3"/>
    </row>
    <row r="2121" spans="3:3" x14ac:dyDescent="0.25">
      <c r="C2121" s="3"/>
    </row>
    <row r="2122" spans="3:3" x14ac:dyDescent="0.25">
      <c r="C2122" s="3"/>
    </row>
    <row r="2123" spans="3:3" x14ac:dyDescent="0.25">
      <c r="C2123" s="3"/>
    </row>
    <row r="2124" spans="3:3" x14ac:dyDescent="0.25">
      <c r="C2124" s="3"/>
    </row>
    <row r="2125" spans="3:3" x14ac:dyDescent="0.25">
      <c r="C2125" s="3"/>
    </row>
    <row r="2126" spans="3:3" x14ac:dyDescent="0.25">
      <c r="C2126" s="3"/>
    </row>
    <row r="2127" spans="3:3" x14ac:dyDescent="0.25">
      <c r="C2127" s="3"/>
    </row>
    <row r="2128" spans="3:3" x14ac:dyDescent="0.25">
      <c r="C2128" s="3"/>
    </row>
    <row r="2129" spans="3:3" x14ac:dyDescent="0.25">
      <c r="C2129" s="3"/>
    </row>
    <row r="2130" spans="3:3" x14ac:dyDescent="0.25">
      <c r="C2130" s="3"/>
    </row>
    <row r="2131" spans="3:3" x14ac:dyDescent="0.25">
      <c r="C2131" s="3"/>
    </row>
    <row r="2132" spans="3:3" x14ac:dyDescent="0.25">
      <c r="C2132" s="3"/>
    </row>
    <row r="2133" spans="3:3" x14ac:dyDescent="0.25">
      <c r="C2133" s="3"/>
    </row>
    <row r="2134" spans="3:3" x14ac:dyDescent="0.25">
      <c r="C2134" s="3"/>
    </row>
    <row r="2135" spans="3:3" x14ac:dyDescent="0.25">
      <c r="C2135" s="3"/>
    </row>
    <row r="2136" spans="3:3" x14ac:dyDescent="0.25">
      <c r="C2136" s="3"/>
    </row>
    <row r="2137" spans="3:3" x14ac:dyDescent="0.25">
      <c r="C2137" s="3"/>
    </row>
    <row r="2138" spans="3:3" x14ac:dyDescent="0.25">
      <c r="C2138" s="3"/>
    </row>
    <row r="2139" spans="3:3" x14ac:dyDescent="0.25">
      <c r="C2139" s="3"/>
    </row>
    <row r="2140" spans="3:3" x14ac:dyDescent="0.25">
      <c r="C2140" s="3"/>
    </row>
    <row r="2141" spans="3:3" x14ac:dyDescent="0.25">
      <c r="C2141" s="3"/>
    </row>
    <row r="2142" spans="3:3" x14ac:dyDescent="0.25">
      <c r="C2142" s="3"/>
    </row>
    <row r="2143" spans="3:3" x14ac:dyDescent="0.25">
      <c r="C2143" s="3"/>
    </row>
    <row r="2144" spans="3:3" x14ac:dyDescent="0.25">
      <c r="C2144" s="3"/>
    </row>
    <row r="2145" spans="3:3" x14ac:dyDescent="0.25">
      <c r="C2145" s="3"/>
    </row>
    <row r="2146" spans="3:3" x14ac:dyDescent="0.25">
      <c r="C2146" s="3"/>
    </row>
    <row r="2147" spans="3:3" x14ac:dyDescent="0.25">
      <c r="C2147" s="3"/>
    </row>
    <row r="2148" spans="3:3" x14ac:dyDescent="0.25">
      <c r="C2148" s="3"/>
    </row>
    <row r="2149" spans="3:3" x14ac:dyDescent="0.25">
      <c r="C2149" s="3"/>
    </row>
    <row r="2150" spans="3:3" x14ac:dyDescent="0.25">
      <c r="C2150" s="3"/>
    </row>
    <row r="2151" spans="3:3" x14ac:dyDescent="0.25">
      <c r="C2151" s="3"/>
    </row>
    <row r="2152" spans="3:3" x14ac:dyDescent="0.25">
      <c r="C2152" s="3"/>
    </row>
    <row r="2153" spans="3:3" x14ac:dyDescent="0.25">
      <c r="C2153" s="3"/>
    </row>
    <row r="2154" spans="3:3" x14ac:dyDescent="0.25">
      <c r="C2154" s="3"/>
    </row>
    <row r="2155" spans="3:3" x14ac:dyDescent="0.25">
      <c r="C2155" s="3"/>
    </row>
    <row r="2156" spans="3:3" x14ac:dyDescent="0.25">
      <c r="C2156" s="3"/>
    </row>
    <row r="2157" spans="3:3" x14ac:dyDescent="0.25">
      <c r="C2157" s="3"/>
    </row>
    <row r="2158" spans="3:3" x14ac:dyDescent="0.25">
      <c r="C2158" s="3"/>
    </row>
    <row r="2159" spans="3:3" x14ac:dyDescent="0.25">
      <c r="C2159" s="3"/>
    </row>
    <row r="2160" spans="3:3" x14ac:dyDescent="0.25">
      <c r="C2160" s="3"/>
    </row>
    <row r="2161" spans="3:3" x14ac:dyDescent="0.25">
      <c r="C2161" s="3"/>
    </row>
    <row r="2162" spans="3:3" x14ac:dyDescent="0.25">
      <c r="C2162" s="3"/>
    </row>
    <row r="2163" spans="3:3" x14ac:dyDescent="0.25">
      <c r="C2163" s="3"/>
    </row>
    <row r="2164" spans="3:3" x14ac:dyDescent="0.25">
      <c r="C2164" s="3"/>
    </row>
    <row r="2165" spans="3:3" x14ac:dyDescent="0.25">
      <c r="C2165" s="3"/>
    </row>
    <row r="2166" spans="3:3" x14ac:dyDescent="0.25">
      <c r="C2166" s="3"/>
    </row>
    <row r="2167" spans="3:3" x14ac:dyDescent="0.25">
      <c r="C2167" s="3"/>
    </row>
    <row r="2168" spans="3:3" x14ac:dyDescent="0.25">
      <c r="C2168" s="3"/>
    </row>
    <row r="2169" spans="3:3" x14ac:dyDescent="0.25">
      <c r="C2169" s="3"/>
    </row>
    <row r="2170" spans="3:3" x14ac:dyDescent="0.25">
      <c r="C2170" s="3"/>
    </row>
    <row r="2171" spans="3:3" x14ac:dyDescent="0.25">
      <c r="C2171" s="3"/>
    </row>
    <row r="2172" spans="3:3" x14ac:dyDescent="0.25">
      <c r="C2172" s="3"/>
    </row>
    <row r="2173" spans="3:3" x14ac:dyDescent="0.25">
      <c r="C2173" s="3"/>
    </row>
    <row r="2174" spans="3:3" x14ac:dyDescent="0.25">
      <c r="C2174" s="3"/>
    </row>
    <row r="2175" spans="3:3" x14ac:dyDescent="0.25">
      <c r="C2175" s="3"/>
    </row>
    <row r="2176" spans="3:3" x14ac:dyDescent="0.25">
      <c r="C2176" s="3"/>
    </row>
    <row r="2177" spans="3:3" x14ac:dyDescent="0.25">
      <c r="C2177" s="3"/>
    </row>
    <row r="2178" spans="3:3" x14ac:dyDescent="0.25">
      <c r="C2178" s="3"/>
    </row>
    <row r="2179" spans="3:3" x14ac:dyDescent="0.25">
      <c r="C2179" s="3"/>
    </row>
    <row r="2180" spans="3:3" x14ac:dyDescent="0.25">
      <c r="C2180" s="3"/>
    </row>
    <row r="2181" spans="3:3" x14ac:dyDescent="0.25">
      <c r="C2181" s="3"/>
    </row>
    <row r="2182" spans="3:3" x14ac:dyDescent="0.25">
      <c r="C2182" s="3"/>
    </row>
    <row r="2183" spans="3:3" x14ac:dyDescent="0.25">
      <c r="C2183" s="3"/>
    </row>
    <row r="2184" spans="3:3" x14ac:dyDescent="0.25">
      <c r="C2184" s="3"/>
    </row>
    <row r="2185" spans="3:3" x14ac:dyDescent="0.25">
      <c r="C2185" s="3"/>
    </row>
    <row r="2186" spans="3:3" x14ac:dyDescent="0.25">
      <c r="C2186" s="3"/>
    </row>
    <row r="2187" spans="3:3" x14ac:dyDescent="0.25">
      <c r="C2187" s="3"/>
    </row>
    <row r="2188" spans="3:3" x14ac:dyDescent="0.25">
      <c r="C2188" s="3"/>
    </row>
    <row r="2189" spans="3:3" x14ac:dyDescent="0.25">
      <c r="C2189" s="3"/>
    </row>
    <row r="2190" spans="3:3" x14ac:dyDescent="0.25">
      <c r="C2190" s="3"/>
    </row>
    <row r="2191" spans="3:3" x14ac:dyDescent="0.25">
      <c r="C2191" s="3"/>
    </row>
    <row r="2192" spans="3:3" x14ac:dyDescent="0.25">
      <c r="C2192" s="3"/>
    </row>
    <row r="2193" spans="3:3" x14ac:dyDescent="0.25">
      <c r="C2193" s="3"/>
    </row>
    <row r="2194" spans="3:3" x14ac:dyDescent="0.25">
      <c r="C2194" s="3"/>
    </row>
    <row r="2195" spans="3:3" x14ac:dyDescent="0.25">
      <c r="C2195" s="3"/>
    </row>
    <row r="2196" spans="3:3" x14ac:dyDescent="0.25">
      <c r="C2196" s="3"/>
    </row>
    <row r="2197" spans="3:3" x14ac:dyDescent="0.25">
      <c r="C2197" s="3"/>
    </row>
    <row r="2198" spans="3:3" x14ac:dyDescent="0.25">
      <c r="C2198" s="3"/>
    </row>
    <row r="2199" spans="3:3" x14ac:dyDescent="0.25">
      <c r="C2199" s="3"/>
    </row>
    <row r="2200" spans="3:3" x14ac:dyDescent="0.25">
      <c r="C2200" s="3"/>
    </row>
    <row r="2201" spans="3:3" x14ac:dyDescent="0.25">
      <c r="C2201" s="3"/>
    </row>
    <row r="2202" spans="3:3" x14ac:dyDescent="0.25">
      <c r="C2202" s="3"/>
    </row>
    <row r="2203" spans="3:3" x14ac:dyDescent="0.25">
      <c r="C2203" s="3"/>
    </row>
    <row r="2204" spans="3:3" x14ac:dyDescent="0.25">
      <c r="C2204" s="3"/>
    </row>
    <row r="2205" spans="3:3" x14ac:dyDescent="0.25">
      <c r="C2205" s="3"/>
    </row>
    <row r="2206" spans="3:3" x14ac:dyDescent="0.25">
      <c r="C2206" s="3"/>
    </row>
    <row r="2207" spans="3:3" x14ac:dyDescent="0.25">
      <c r="C2207" s="3"/>
    </row>
    <row r="2208" spans="3:3" x14ac:dyDescent="0.25">
      <c r="C2208" s="3"/>
    </row>
    <row r="2209" spans="3:3" x14ac:dyDescent="0.25">
      <c r="C2209" s="3"/>
    </row>
    <row r="2210" spans="3:3" x14ac:dyDescent="0.25">
      <c r="C2210" s="3"/>
    </row>
    <row r="2211" spans="3:3" x14ac:dyDescent="0.25">
      <c r="C2211" s="3"/>
    </row>
    <row r="2212" spans="3:3" x14ac:dyDescent="0.25">
      <c r="C2212" s="3"/>
    </row>
    <row r="2213" spans="3:3" x14ac:dyDescent="0.25">
      <c r="C2213" s="3"/>
    </row>
    <row r="2214" spans="3:3" x14ac:dyDescent="0.25">
      <c r="C2214" s="3"/>
    </row>
    <row r="2215" spans="3:3" x14ac:dyDescent="0.25">
      <c r="C2215" s="3"/>
    </row>
    <row r="2216" spans="3:3" x14ac:dyDescent="0.25">
      <c r="C2216" s="3"/>
    </row>
    <row r="2217" spans="3:3" x14ac:dyDescent="0.25">
      <c r="C2217" s="3"/>
    </row>
    <row r="2218" spans="3:3" x14ac:dyDescent="0.25">
      <c r="C2218" s="3"/>
    </row>
    <row r="2219" spans="3:3" x14ac:dyDescent="0.25">
      <c r="C2219" s="3"/>
    </row>
    <row r="2220" spans="3:3" x14ac:dyDescent="0.25">
      <c r="C2220" s="3"/>
    </row>
    <row r="2221" spans="3:3" x14ac:dyDescent="0.25">
      <c r="C2221" s="3"/>
    </row>
    <row r="2222" spans="3:3" x14ac:dyDescent="0.25">
      <c r="C2222" s="3"/>
    </row>
    <row r="2223" spans="3:3" x14ac:dyDescent="0.25">
      <c r="C2223" s="3"/>
    </row>
    <row r="2224" spans="3:3" x14ac:dyDescent="0.25">
      <c r="C2224" s="3"/>
    </row>
    <row r="2225" spans="3:3" x14ac:dyDescent="0.25">
      <c r="C2225" s="3"/>
    </row>
    <row r="2226" spans="3:3" x14ac:dyDescent="0.25">
      <c r="C2226" s="3"/>
    </row>
    <row r="2227" spans="3:3" x14ac:dyDescent="0.25">
      <c r="C2227" s="3"/>
    </row>
    <row r="2228" spans="3:3" x14ac:dyDescent="0.25">
      <c r="C2228" s="3"/>
    </row>
    <row r="2229" spans="3:3" x14ac:dyDescent="0.25">
      <c r="C2229" s="3"/>
    </row>
    <row r="2230" spans="3:3" x14ac:dyDescent="0.25">
      <c r="C2230" s="3"/>
    </row>
    <row r="2231" spans="3:3" x14ac:dyDescent="0.25">
      <c r="C2231" s="3"/>
    </row>
    <row r="2232" spans="3:3" x14ac:dyDescent="0.25">
      <c r="C2232" s="3"/>
    </row>
    <row r="2233" spans="3:3" x14ac:dyDescent="0.25">
      <c r="C2233" s="3"/>
    </row>
    <row r="2234" spans="3:3" x14ac:dyDescent="0.25">
      <c r="C2234" s="3"/>
    </row>
    <row r="2235" spans="3:3" x14ac:dyDescent="0.25">
      <c r="C2235" s="3"/>
    </row>
    <row r="2236" spans="3:3" x14ac:dyDescent="0.25">
      <c r="C2236" s="3"/>
    </row>
    <row r="2237" spans="3:3" x14ac:dyDescent="0.25">
      <c r="C2237" s="3"/>
    </row>
    <row r="2238" spans="3:3" x14ac:dyDescent="0.25">
      <c r="C2238" s="3"/>
    </row>
    <row r="2239" spans="3:3" x14ac:dyDescent="0.25">
      <c r="C2239" s="3"/>
    </row>
    <row r="2240" spans="3:3" x14ac:dyDescent="0.25">
      <c r="C2240" s="3"/>
    </row>
    <row r="2241" spans="3:3" x14ac:dyDescent="0.25">
      <c r="C2241" s="3"/>
    </row>
    <row r="2242" spans="3:3" x14ac:dyDescent="0.25">
      <c r="C2242" s="3"/>
    </row>
    <row r="2243" spans="3:3" x14ac:dyDescent="0.25">
      <c r="C2243" s="3"/>
    </row>
    <row r="2244" spans="3:3" x14ac:dyDescent="0.25">
      <c r="C2244" s="3"/>
    </row>
    <row r="2245" spans="3:3" x14ac:dyDescent="0.25">
      <c r="C2245" s="3"/>
    </row>
    <row r="2246" spans="3:3" x14ac:dyDescent="0.25">
      <c r="C2246" s="3"/>
    </row>
    <row r="2247" spans="3:3" x14ac:dyDescent="0.25">
      <c r="C2247" s="3"/>
    </row>
    <row r="2248" spans="3:3" x14ac:dyDescent="0.25">
      <c r="C2248" s="3"/>
    </row>
    <row r="2249" spans="3:3" x14ac:dyDescent="0.25">
      <c r="C2249" s="3"/>
    </row>
    <row r="2250" spans="3:3" x14ac:dyDescent="0.25">
      <c r="C2250" s="3"/>
    </row>
    <row r="2251" spans="3:3" x14ac:dyDescent="0.25">
      <c r="C2251" s="3"/>
    </row>
    <row r="2252" spans="3:3" x14ac:dyDescent="0.25">
      <c r="C2252" s="3"/>
    </row>
    <row r="2253" spans="3:3" x14ac:dyDescent="0.25">
      <c r="C2253" s="3"/>
    </row>
    <row r="2254" spans="3:3" x14ac:dyDescent="0.25">
      <c r="C2254" s="3"/>
    </row>
    <row r="2255" spans="3:3" x14ac:dyDescent="0.25">
      <c r="C2255" s="3"/>
    </row>
    <row r="2256" spans="3:3" x14ac:dyDescent="0.25">
      <c r="C2256" s="3"/>
    </row>
    <row r="2257" spans="3:3" x14ac:dyDescent="0.25">
      <c r="C2257" s="3"/>
    </row>
    <row r="2258" spans="3:3" x14ac:dyDescent="0.25">
      <c r="C2258" s="3"/>
    </row>
    <row r="2259" spans="3:3" x14ac:dyDescent="0.25">
      <c r="C2259" s="3"/>
    </row>
    <row r="2260" spans="3:3" x14ac:dyDescent="0.25">
      <c r="C2260" s="3"/>
    </row>
    <row r="2261" spans="3:3" x14ac:dyDescent="0.25">
      <c r="C2261" s="3"/>
    </row>
    <row r="2262" spans="3:3" x14ac:dyDescent="0.25">
      <c r="C2262" s="3"/>
    </row>
    <row r="2263" spans="3:3" x14ac:dyDescent="0.25">
      <c r="C2263" s="3"/>
    </row>
    <row r="2264" spans="3:3" x14ac:dyDescent="0.25">
      <c r="C2264" s="3"/>
    </row>
    <row r="2265" spans="3:3" x14ac:dyDescent="0.25">
      <c r="C2265" s="3"/>
    </row>
    <row r="2266" spans="3:3" x14ac:dyDescent="0.25">
      <c r="C2266" s="3"/>
    </row>
    <row r="2267" spans="3:3" x14ac:dyDescent="0.25">
      <c r="C2267" s="3"/>
    </row>
    <row r="2268" spans="3:3" x14ac:dyDescent="0.25">
      <c r="C2268" s="3"/>
    </row>
    <row r="2269" spans="3:3" x14ac:dyDescent="0.25">
      <c r="C2269" s="3"/>
    </row>
    <row r="2270" spans="3:3" x14ac:dyDescent="0.25">
      <c r="C2270" s="3"/>
    </row>
    <row r="2271" spans="3:3" x14ac:dyDescent="0.25">
      <c r="C2271" s="3"/>
    </row>
    <row r="2272" spans="3:3" x14ac:dyDescent="0.25">
      <c r="C2272" s="3"/>
    </row>
    <row r="2273" spans="3:3" x14ac:dyDescent="0.25">
      <c r="C2273" s="3"/>
    </row>
    <row r="2274" spans="3:3" x14ac:dyDescent="0.25">
      <c r="C2274" s="3"/>
    </row>
    <row r="2275" spans="3:3" x14ac:dyDescent="0.25">
      <c r="C2275" s="3"/>
    </row>
    <row r="2276" spans="3:3" x14ac:dyDescent="0.25">
      <c r="C2276" s="3"/>
    </row>
    <row r="2277" spans="3:3" x14ac:dyDescent="0.25">
      <c r="C2277" s="3"/>
    </row>
    <row r="2278" spans="3:3" x14ac:dyDescent="0.25">
      <c r="C2278" s="3"/>
    </row>
    <row r="2279" spans="3:3" x14ac:dyDescent="0.25">
      <c r="C2279" s="3"/>
    </row>
    <row r="2280" spans="3:3" x14ac:dyDescent="0.25">
      <c r="C2280" s="3"/>
    </row>
    <row r="2281" spans="3:3" x14ac:dyDescent="0.25">
      <c r="C2281" s="3"/>
    </row>
    <row r="2282" spans="3:3" x14ac:dyDescent="0.25">
      <c r="C2282" s="3"/>
    </row>
    <row r="2283" spans="3:3" x14ac:dyDescent="0.25">
      <c r="C2283" s="3"/>
    </row>
    <row r="2284" spans="3:3" x14ac:dyDescent="0.25">
      <c r="C2284" s="3"/>
    </row>
    <row r="2285" spans="3:3" x14ac:dyDescent="0.25">
      <c r="C2285" s="3"/>
    </row>
    <row r="2286" spans="3:3" x14ac:dyDescent="0.25">
      <c r="C2286" s="3"/>
    </row>
    <row r="2287" spans="3:3" x14ac:dyDescent="0.25">
      <c r="C2287" s="3"/>
    </row>
    <row r="2288" spans="3:3" x14ac:dyDescent="0.25">
      <c r="C2288" s="3"/>
    </row>
    <row r="2289" spans="3:3" x14ac:dyDescent="0.25">
      <c r="C2289" s="3"/>
    </row>
    <row r="2290" spans="3:3" x14ac:dyDescent="0.25">
      <c r="C2290" s="3"/>
    </row>
    <row r="2291" spans="3:3" x14ac:dyDescent="0.25">
      <c r="C2291" s="3"/>
    </row>
    <row r="2292" spans="3:3" x14ac:dyDescent="0.25">
      <c r="C2292" s="3"/>
    </row>
    <row r="2293" spans="3:3" x14ac:dyDescent="0.25">
      <c r="C2293" s="3"/>
    </row>
    <row r="2294" spans="3:3" x14ac:dyDescent="0.25">
      <c r="C2294" s="3"/>
    </row>
    <row r="2295" spans="3:3" x14ac:dyDescent="0.25">
      <c r="C2295" s="3"/>
    </row>
    <row r="2296" spans="3:3" x14ac:dyDescent="0.25">
      <c r="C2296" s="3"/>
    </row>
    <row r="2297" spans="3:3" x14ac:dyDescent="0.25">
      <c r="C2297" s="3"/>
    </row>
    <row r="2298" spans="3:3" x14ac:dyDescent="0.25">
      <c r="C2298" s="3"/>
    </row>
    <row r="2299" spans="3:3" x14ac:dyDescent="0.25">
      <c r="C2299" s="3"/>
    </row>
    <row r="2300" spans="3:3" x14ac:dyDescent="0.25">
      <c r="C2300" s="3"/>
    </row>
    <row r="2301" spans="3:3" x14ac:dyDescent="0.25">
      <c r="C2301" s="3"/>
    </row>
    <row r="2302" spans="3:3" x14ac:dyDescent="0.25">
      <c r="C2302" s="3"/>
    </row>
    <row r="2303" spans="3:3" x14ac:dyDescent="0.25">
      <c r="C2303" s="3"/>
    </row>
    <row r="2304" spans="3:3" x14ac:dyDescent="0.25">
      <c r="C2304" s="3"/>
    </row>
    <row r="2305" spans="3:3" x14ac:dyDescent="0.25">
      <c r="C2305" s="3"/>
    </row>
    <row r="2306" spans="3:3" x14ac:dyDescent="0.25">
      <c r="C2306" s="3"/>
    </row>
    <row r="2307" spans="3:3" x14ac:dyDescent="0.25">
      <c r="C2307" s="3"/>
    </row>
    <row r="2308" spans="3:3" x14ac:dyDescent="0.25">
      <c r="C2308" s="3"/>
    </row>
    <row r="2309" spans="3:3" x14ac:dyDescent="0.25">
      <c r="C2309" s="3"/>
    </row>
    <row r="2310" spans="3:3" x14ac:dyDescent="0.25">
      <c r="C2310" s="3"/>
    </row>
    <row r="2311" spans="3:3" x14ac:dyDescent="0.25">
      <c r="C2311" s="3"/>
    </row>
    <row r="2312" spans="3:3" x14ac:dyDescent="0.25">
      <c r="C2312" s="3"/>
    </row>
    <row r="2313" spans="3:3" x14ac:dyDescent="0.25">
      <c r="C2313" s="3"/>
    </row>
    <row r="2314" spans="3:3" x14ac:dyDescent="0.25">
      <c r="C2314" s="3"/>
    </row>
    <row r="2315" spans="3:3" x14ac:dyDescent="0.25">
      <c r="C2315" s="3"/>
    </row>
    <row r="2316" spans="3:3" x14ac:dyDescent="0.25">
      <c r="C2316" s="3"/>
    </row>
    <row r="2317" spans="3:3" x14ac:dyDescent="0.25">
      <c r="C2317" s="3"/>
    </row>
    <row r="2318" spans="3:3" x14ac:dyDescent="0.25">
      <c r="C2318" s="3"/>
    </row>
    <row r="2319" spans="3:3" x14ac:dyDescent="0.25">
      <c r="C2319" s="3"/>
    </row>
    <row r="2320" spans="3:3" x14ac:dyDescent="0.25">
      <c r="C2320" s="3"/>
    </row>
    <row r="2321" spans="3:3" x14ac:dyDescent="0.25">
      <c r="C2321" s="3"/>
    </row>
    <row r="2322" spans="3:3" x14ac:dyDescent="0.25">
      <c r="C2322" s="3"/>
    </row>
    <row r="2323" spans="3:3" x14ac:dyDescent="0.25">
      <c r="C2323" s="3"/>
    </row>
    <row r="2324" spans="3:3" x14ac:dyDescent="0.25">
      <c r="C2324" s="3"/>
    </row>
    <row r="2325" spans="3:3" x14ac:dyDescent="0.25">
      <c r="C2325" s="3"/>
    </row>
    <row r="2326" spans="3:3" x14ac:dyDescent="0.25">
      <c r="C2326" s="3"/>
    </row>
    <row r="2327" spans="3:3" x14ac:dyDescent="0.25">
      <c r="C2327" s="3"/>
    </row>
    <row r="2328" spans="3:3" x14ac:dyDescent="0.25">
      <c r="C2328" s="3"/>
    </row>
    <row r="2329" spans="3:3" x14ac:dyDescent="0.25">
      <c r="C2329" s="3"/>
    </row>
    <row r="2330" spans="3:3" x14ac:dyDescent="0.25">
      <c r="C2330" s="3"/>
    </row>
    <row r="2331" spans="3:3" x14ac:dyDescent="0.25">
      <c r="C2331" s="3"/>
    </row>
    <row r="2332" spans="3:3" x14ac:dyDescent="0.25">
      <c r="C2332" s="3"/>
    </row>
    <row r="2333" spans="3:3" x14ac:dyDescent="0.25">
      <c r="C2333" s="3"/>
    </row>
    <row r="2334" spans="3:3" x14ac:dyDescent="0.25">
      <c r="C2334" s="3"/>
    </row>
    <row r="2335" spans="3:3" x14ac:dyDescent="0.25">
      <c r="C2335" s="3"/>
    </row>
    <row r="2336" spans="3:3" x14ac:dyDescent="0.25">
      <c r="C2336" s="3"/>
    </row>
    <row r="2337" spans="3:3" x14ac:dyDescent="0.25">
      <c r="C2337" s="3"/>
    </row>
    <row r="2338" spans="3:3" x14ac:dyDescent="0.25">
      <c r="C2338" s="3"/>
    </row>
    <row r="2339" spans="3:3" x14ac:dyDescent="0.25">
      <c r="C2339" s="3"/>
    </row>
    <row r="2340" spans="3:3" x14ac:dyDescent="0.25">
      <c r="C2340" s="3"/>
    </row>
    <row r="2341" spans="3:3" x14ac:dyDescent="0.25">
      <c r="C2341" s="3"/>
    </row>
    <row r="2342" spans="3:3" x14ac:dyDescent="0.25">
      <c r="C2342" s="3"/>
    </row>
    <row r="2343" spans="3:3" x14ac:dyDescent="0.25">
      <c r="C2343" s="3"/>
    </row>
    <row r="2344" spans="3:3" x14ac:dyDescent="0.25">
      <c r="C2344" s="3"/>
    </row>
    <row r="2345" spans="3:3" x14ac:dyDescent="0.25">
      <c r="C2345" s="3"/>
    </row>
    <row r="2346" spans="3:3" x14ac:dyDescent="0.25">
      <c r="C2346" s="3"/>
    </row>
    <row r="2347" spans="3:3" x14ac:dyDescent="0.25">
      <c r="C2347" s="3"/>
    </row>
    <row r="2348" spans="3:3" x14ac:dyDescent="0.25">
      <c r="C2348" s="3"/>
    </row>
    <row r="2349" spans="3:3" x14ac:dyDescent="0.25">
      <c r="C2349" s="3"/>
    </row>
    <row r="2350" spans="3:3" x14ac:dyDescent="0.25">
      <c r="C2350" s="3"/>
    </row>
    <row r="2351" spans="3:3" x14ac:dyDescent="0.25">
      <c r="C2351" s="3"/>
    </row>
    <row r="2352" spans="3:3" x14ac:dyDescent="0.25">
      <c r="C2352" s="3"/>
    </row>
    <row r="2353" spans="3:3" x14ac:dyDescent="0.25">
      <c r="C2353" s="3"/>
    </row>
    <row r="2354" spans="3:3" x14ac:dyDescent="0.25">
      <c r="C2354" s="3"/>
    </row>
    <row r="2355" spans="3:3" x14ac:dyDescent="0.25">
      <c r="C2355" s="3"/>
    </row>
    <row r="2356" spans="3:3" x14ac:dyDescent="0.25">
      <c r="C2356" s="3"/>
    </row>
    <row r="2357" spans="3:3" x14ac:dyDescent="0.25">
      <c r="C2357" s="3"/>
    </row>
    <row r="2358" spans="3:3" x14ac:dyDescent="0.25">
      <c r="C2358" s="3"/>
    </row>
    <row r="2359" spans="3:3" x14ac:dyDescent="0.25">
      <c r="C2359" s="3"/>
    </row>
    <row r="2360" spans="3:3" x14ac:dyDescent="0.25">
      <c r="C2360" s="3"/>
    </row>
    <row r="2361" spans="3:3" x14ac:dyDescent="0.25">
      <c r="C2361" s="3"/>
    </row>
    <row r="2362" spans="3:3" x14ac:dyDescent="0.25">
      <c r="C2362" s="3"/>
    </row>
    <row r="2363" spans="3:3" x14ac:dyDescent="0.25">
      <c r="C2363" s="3"/>
    </row>
    <row r="2364" spans="3:3" x14ac:dyDescent="0.25">
      <c r="C2364" s="3"/>
    </row>
    <row r="2365" spans="3:3" x14ac:dyDescent="0.25">
      <c r="C2365" s="3"/>
    </row>
    <row r="2366" spans="3:3" x14ac:dyDescent="0.25">
      <c r="C2366" s="3"/>
    </row>
    <row r="2367" spans="3:3" x14ac:dyDescent="0.25">
      <c r="C2367" s="3"/>
    </row>
    <row r="2368" spans="3:3" x14ac:dyDescent="0.25">
      <c r="C2368" s="3"/>
    </row>
    <row r="2369" spans="3:3" x14ac:dyDescent="0.25">
      <c r="C2369" s="3"/>
    </row>
    <row r="2370" spans="3:3" x14ac:dyDescent="0.25">
      <c r="C2370" s="3"/>
    </row>
    <row r="2371" spans="3:3" x14ac:dyDescent="0.25">
      <c r="C2371" s="3"/>
    </row>
    <row r="2372" spans="3:3" x14ac:dyDescent="0.25">
      <c r="C2372" s="3"/>
    </row>
    <row r="2373" spans="3:3" x14ac:dyDescent="0.25">
      <c r="C2373" s="3"/>
    </row>
    <row r="2374" spans="3:3" x14ac:dyDescent="0.25">
      <c r="C2374" s="3"/>
    </row>
    <row r="2375" spans="3:3" x14ac:dyDescent="0.25">
      <c r="C2375" s="3"/>
    </row>
    <row r="2376" spans="3:3" x14ac:dyDescent="0.25">
      <c r="C2376" s="3"/>
    </row>
    <row r="2377" spans="3:3" x14ac:dyDescent="0.25">
      <c r="C2377" s="3"/>
    </row>
    <row r="2378" spans="3:3" x14ac:dyDescent="0.25">
      <c r="C2378" s="3"/>
    </row>
    <row r="2379" spans="3:3" x14ac:dyDescent="0.25">
      <c r="C2379" s="3"/>
    </row>
    <row r="2380" spans="3:3" x14ac:dyDescent="0.25">
      <c r="C2380" s="3"/>
    </row>
    <row r="2381" spans="3:3" x14ac:dyDescent="0.25">
      <c r="C2381" s="3"/>
    </row>
    <row r="2382" spans="3:3" x14ac:dyDescent="0.25">
      <c r="C2382" s="3"/>
    </row>
    <row r="2383" spans="3:3" x14ac:dyDescent="0.25">
      <c r="C2383" s="3"/>
    </row>
    <row r="2384" spans="3:3" x14ac:dyDescent="0.25">
      <c r="C2384" s="3"/>
    </row>
    <row r="2385" spans="3:3" x14ac:dyDescent="0.25">
      <c r="C2385" s="3"/>
    </row>
    <row r="2386" spans="3:3" x14ac:dyDescent="0.25">
      <c r="C2386" s="3"/>
    </row>
    <row r="2387" spans="3:3" x14ac:dyDescent="0.25">
      <c r="C2387" s="3"/>
    </row>
    <row r="2388" spans="3:3" x14ac:dyDescent="0.25">
      <c r="C2388" s="3"/>
    </row>
    <row r="2389" spans="3:3" x14ac:dyDescent="0.25">
      <c r="C2389" s="3"/>
    </row>
    <row r="2390" spans="3:3" x14ac:dyDescent="0.25">
      <c r="C2390" s="3"/>
    </row>
    <row r="2391" spans="3:3" x14ac:dyDescent="0.25">
      <c r="C2391" s="3"/>
    </row>
    <row r="2392" spans="3:3" x14ac:dyDescent="0.25">
      <c r="C2392" s="3"/>
    </row>
    <row r="2393" spans="3:3" x14ac:dyDescent="0.25">
      <c r="C2393" s="3"/>
    </row>
    <row r="2394" spans="3:3" x14ac:dyDescent="0.25">
      <c r="C2394" s="3"/>
    </row>
    <row r="2395" spans="3:3" x14ac:dyDescent="0.25">
      <c r="C2395" s="3"/>
    </row>
    <row r="2396" spans="3:3" x14ac:dyDescent="0.25">
      <c r="C2396" s="3"/>
    </row>
    <row r="2397" spans="3:3" x14ac:dyDescent="0.25">
      <c r="C2397" s="3"/>
    </row>
    <row r="2398" spans="3:3" x14ac:dyDescent="0.25">
      <c r="C2398" s="3"/>
    </row>
    <row r="2399" spans="3:3" x14ac:dyDescent="0.25">
      <c r="C2399" s="3"/>
    </row>
    <row r="2400" spans="3:3" x14ac:dyDescent="0.25">
      <c r="C2400" s="3"/>
    </row>
    <row r="2401" spans="3:3" x14ac:dyDescent="0.25">
      <c r="C2401" s="3"/>
    </row>
    <row r="2402" spans="3:3" x14ac:dyDescent="0.25">
      <c r="C2402" s="3"/>
    </row>
    <row r="2403" spans="3:3" x14ac:dyDescent="0.25">
      <c r="C2403" s="3"/>
    </row>
    <row r="2404" spans="3:3" x14ac:dyDescent="0.25">
      <c r="C2404" s="3"/>
    </row>
    <row r="2405" spans="3:3" x14ac:dyDescent="0.25">
      <c r="C2405" s="3"/>
    </row>
    <row r="2406" spans="3:3" x14ac:dyDescent="0.25">
      <c r="C2406" s="3"/>
    </row>
    <row r="2407" spans="3:3" x14ac:dyDescent="0.25">
      <c r="C2407" s="3"/>
    </row>
    <row r="2408" spans="3:3" x14ac:dyDescent="0.25">
      <c r="C2408" s="3"/>
    </row>
    <row r="2409" spans="3:3" x14ac:dyDescent="0.25">
      <c r="C2409" s="3"/>
    </row>
    <row r="2410" spans="3:3" x14ac:dyDescent="0.25">
      <c r="C2410" s="3"/>
    </row>
    <row r="2411" spans="3:3" x14ac:dyDescent="0.25">
      <c r="C2411" s="3"/>
    </row>
    <row r="2412" spans="3:3" x14ac:dyDescent="0.25">
      <c r="C2412" s="3"/>
    </row>
    <row r="2413" spans="3:3" x14ac:dyDescent="0.25">
      <c r="C2413" s="3"/>
    </row>
    <row r="2414" spans="3:3" x14ac:dyDescent="0.25">
      <c r="C2414" s="3"/>
    </row>
    <row r="2415" spans="3:3" x14ac:dyDescent="0.25">
      <c r="C2415" s="3"/>
    </row>
    <row r="2416" spans="3:3" x14ac:dyDescent="0.25">
      <c r="C2416" s="3"/>
    </row>
    <row r="2417" spans="3:3" x14ac:dyDescent="0.25">
      <c r="C2417" s="3"/>
    </row>
    <row r="2418" spans="3:3" x14ac:dyDescent="0.25">
      <c r="C2418" s="3"/>
    </row>
    <row r="2419" spans="3:3" x14ac:dyDescent="0.25">
      <c r="C2419" s="3"/>
    </row>
    <row r="2420" spans="3:3" x14ac:dyDescent="0.25">
      <c r="C2420" s="3"/>
    </row>
    <row r="2421" spans="3:3" x14ac:dyDescent="0.25">
      <c r="C2421" s="3"/>
    </row>
    <row r="2422" spans="3:3" x14ac:dyDescent="0.25">
      <c r="C2422" s="3"/>
    </row>
    <row r="2423" spans="3:3" x14ac:dyDescent="0.25">
      <c r="C2423" s="3"/>
    </row>
    <row r="2424" spans="3:3" x14ac:dyDescent="0.25">
      <c r="C2424" s="3"/>
    </row>
    <row r="2425" spans="3:3" x14ac:dyDescent="0.25">
      <c r="C2425" s="3"/>
    </row>
    <row r="2426" spans="3:3" x14ac:dyDescent="0.25">
      <c r="C2426" s="3"/>
    </row>
    <row r="2427" spans="3:3" x14ac:dyDescent="0.25">
      <c r="C2427" s="3"/>
    </row>
    <row r="2428" spans="3:3" x14ac:dyDescent="0.25">
      <c r="C2428" s="3"/>
    </row>
    <row r="2429" spans="3:3" x14ac:dyDescent="0.25">
      <c r="C2429" s="3"/>
    </row>
    <row r="2430" spans="3:3" x14ac:dyDescent="0.25">
      <c r="C2430" s="3"/>
    </row>
    <row r="2431" spans="3:3" x14ac:dyDescent="0.25">
      <c r="C2431" s="3"/>
    </row>
    <row r="2432" spans="3:3" x14ac:dyDescent="0.25">
      <c r="C2432" s="3"/>
    </row>
    <row r="2433" spans="3:3" x14ac:dyDescent="0.25">
      <c r="C2433" s="3"/>
    </row>
    <row r="2434" spans="3:3" x14ac:dyDescent="0.25">
      <c r="C2434" s="3"/>
    </row>
    <row r="2435" spans="3:3" x14ac:dyDescent="0.25">
      <c r="C2435" s="3"/>
    </row>
    <row r="2436" spans="3:3" x14ac:dyDescent="0.25">
      <c r="C2436" s="3"/>
    </row>
    <row r="2437" spans="3:3" x14ac:dyDescent="0.25">
      <c r="C2437" s="3"/>
    </row>
    <row r="2438" spans="3:3" x14ac:dyDescent="0.25">
      <c r="C2438" s="3"/>
    </row>
    <row r="2439" spans="3:3" x14ac:dyDescent="0.25">
      <c r="C2439" s="3"/>
    </row>
    <row r="2440" spans="3:3" x14ac:dyDescent="0.25">
      <c r="C2440" s="3"/>
    </row>
    <row r="2441" spans="3:3" x14ac:dyDescent="0.25">
      <c r="C2441" s="3"/>
    </row>
    <row r="2442" spans="3:3" x14ac:dyDescent="0.25">
      <c r="C2442" s="3"/>
    </row>
    <row r="2443" spans="3:3" x14ac:dyDescent="0.25">
      <c r="C2443" s="3"/>
    </row>
    <row r="2444" spans="3:3" x14ac:dyDescent="0.25">
      <c r="C2444" s="3"/>
    </row>
    <row r="2445" spans="3:3" x14ac:dyDescent="0.25">
      <c r="C2445" s="3"/>
    </row>
    <row r="2446" spans="3:3" x14ac:dyDescent="0.25">
      <c r="C2446" s="3"/>
    </row>
    <row r="2447" spans="3:3" x14ac:dyDescent="0.25">
      <c r="C2447" s="3"/>
    </row>
    <row r="2448" spans="3:3" x14ac:dyDescent="0.25">
      <c r="C2448" s="3"/>
    </row>
    <row r="2449" spans="3:3" x14ac:dyDescent="0.25">
      <c r="C2449" s="3"/>
    </row>
    <row r="2450" spans="3:3" x14ac:dyDescent="0.25">
      <c r="C2450" s="3"/>
    </row>
    <row r="2451" spans="3:3" x14ac:dyDescent="0.25">
      <c r="C2451" s="3"/>
    </row>
    <row r="2452" spans="3:3" x14ac:dyDescent="0.25">
      <c r="C2452" s="3"/>
    </row>
    <row r="2453" spans="3:3" x14ac:dyDescent="0.25">
      <c r="C2453" s="3"/>
    </row>
    <row r="2454" spans="3:3" x14ac:dyDescent="0.25">
      <c r="C2454" s="3"/>
    </row>
    <row r="2455" spans="3:3" x14ac:dyDescent="0.25">
      <c r="C2455" s="3"/>
    </row>
    <row r="2456" spans="3:3" x14ac:dyDescent="0.25">
      <c r="C2456" s="3"/>
    </row>
    <row r="2457" spans="3:3" x14ac:dyDescent="0.25">
      <c r="C2457" s="3"/>
    </row>
    <row r="2458" spans="3:3" x14ac:dyDescent="0.25">
      <c r="C2458" s="3"/>
    </row>
    <row r="2459" spans="3:3" x14ac:dyDescent="0.25">
      <c r="C2459" s="3"/>
    </row>
    <row r="2460" spans="3:3" x14ac:dyDescent="0.25">
      <c r="C2460" s="3"/>
    </row>
    <row r="2461" spans="3:3" x14ac:dyDescent="0.25">
      <c r="C2461" s="3"/>
    </row>
    <row r="2462" spans="3:3" x14ac:dyDescent="0.25">
      <c r="C2462" s="3"/>
    </row>
    <row r="2463" spans="3:3" x14ac:dyDescent="0.25">
      <c r="C2463" s="3"/>
    </row>
    <row r="2464" spans="3:3" x14ac:dyDescent="0.25">
      <c r="C2464" s="3"/>
    </row>
    <row r="2465" spans="3:3" x14ac:dyDescent="0.25">
      <c r="C2465" s="3"/>
    </row>
    <row r="2466" spans="3:3" x14ac:dyDescent="0.25">
      <c r="C2466" s="3"/>
    </row>
    <row r="2467" spans="3:3" x14ac:dyDescent="0.25">
      <c r="C2467" s="3"/>
    </row>
    <row r="2468" spans="3:3" x14ac:dyDescent="0.25">
      <c r="C2468" s="3"/>
    </row>
    <row r="2469" spans="3:3" x14ac:dyDescent="0.25">
      <c r="C2469" s="3"/>
    </row>
    <row r="2470" spans="3:3" x14ac:dyDescent="0.25">
      <c r="C2470" s="3"/>
    </row>
    <row r="2471" spans="3:3" x14ac:dyDescent="0.25">
      <c r="C2471" s="3"/>
    </row>
    <row r="2472" spans="3:3" x14ac:dyDescent="0.25">
      <c r="C2472" s="3"/>
    </row>
    <row r="2473" spans="3:3" x14ac:dyDescent="0.25">
      <c r="C2473" s="3"/>
    </row>
    <row r="2474" spans="3:3" x14ac:dyDescent="0.25">
      <c r="C2474" s="3"/>
    </row>
    <row r="2475" spans="3:3" x14ac:dyDescent="0.25">
      <c r="C2475" s="3"/>
    </row>
    <row r="2476" spans="3:3" x14ac:dyDescent="0.25">
      <c r="C2476" s="3"/>
    </row>
    <row r="2477" spans="3:3" x14ac:dyDescent="0.25">
      <c r="C2477" s="3"/>
    </row>
    <row r="2478" spans="3:3" x14ac:dyDescent="0.25">
      <c r="C2478" s="3"/>
    </row>
    <row r="2479" spans="3:3" x14ac:dyDescent="0.25">
      <c r="C2479" s="3"/>
    </row>
    <row r="2480" spans="3:3" x14ac:dyDescent="0.25">
      <c r="C2480" s="3"/>
    </row>
    <row r="2481" spans="3:3" x14ac:dyDescent="0.25">
      <c r="C2481" s="3"/>
    </row>
    <row r="2482" spans="3:3" x14ac:dyDescent="0.25">
      <c r="C2482" s="3"/>
    </row>
    <row r="2483" spans="3:3" x14ac:dyDescent="0.25">
      <c r="C2483" s="3"/>
    </row>
    <row r="2484" spans="3:3" x14ac:dyDescent="0.25">
      <c r="C2484" s="3"/>
    </row>
    <row r="2485" spans="3:3" x14ac:dyDescent="0.25">
      <c r="C2485" s="3"/>
    </row>
    <row r="2486" spans="3:3" x14ac:dyDescent="0.25">
      <c r="C2486" s="3"/>
    </row>
    <row r="2487" spans="3:3" x14ac:dyDescent="0.25">
      <c r="C2487" s="3"/>
    </row>
    <row r="2488" spans="3:3" x14ac:dyDescent="0.25">
      <c r="C2488" s="3"/>
    </row>
    <row r="2489" spans="3:3" x14ac:dyDescent="0.25">
      <c r="C2489" s="3"/>
    </row>
    <row r="2490" spans="3:3" x14ac:dyDescent="0.25">
      <c r="C2490" s="3"/>
    </row>
    <row r="2491" spans="3:3" x14ac:dyDescent="0.25">
      <c r="C2491" s="3"/>
    </row>
    <row r="2492" spans="3:3" x14ac:dyDescent="0.25">
      <c r="C2492" s="3"/>
    </row>
    <row r="2493" spans="3:3" x14ac:dyDescent="0.25">
      <c r="C2493" s="3"/>
    </row>
    <row r="2494" spans="3:3" x14ac:dyDescent="0.25">
      <c r="C2494" s="3"/>
    </row>
    <row r="2495" spans="3:3" x14ac:dyDescent="0.25">
      <c r="C2495" s="3"/>
    </row>
    <row r="2496" spans="3:3" x14ac:dyDescent="0.25">
      <c r="C2496" s="3"/>
    </row>
    <row r="2497" spans="3:3" x14ac:dyDescent="0.25">
      <c r="C2497" s="3"/>
    </row>
    <row r="2498" spans="3:3" x14ac:dyDescent="0.25">
      <c r="C2498" s="3"/>
    </row>
    <row r="2499" spans="3:3" x14ac:dyDescent="0.25">
      <c r="C2499" s="3"/>
    </row>
    <row r="2500" spans="3:3" x14ac:dyDescent="0.25">
      <c r="C2500" s="3"/>
    </row>
    <row r="2501" spans="3:3" x14ac:dyDescent="0.25">
      <c r="C2501" s="3"/>
    </row>
    <row r="2502" spans="3:3" x14ac:dyDescent="0.25">
      <c r="C2502" s="3"/>
    </row>
    <row r="2503" spans="3:3" x14ac:dyDescent="0.25">
      <c r="C2503" s="3"/>
    </row>
    <row r="2504" spans="3:3" x14ac:dyDescent="0.25">
      <c r="C2504" s="3"/>
    </row>
    <row r="2505" spans="3:3" x14ac:dyDescent="0.25">
      <c r="C2505" s="3"/>
    </row>
    <row r="2506" spans="3:3" x14ac:dyDescent="0.25">
      <c r="C2506" s="3"/>
    </row>
    <row r="2507" spans="3:3" x14ac:dyDescent="0.25">
      <c r="C2507" s="3"/>
    </row>
    <row r="2508" spans="3:3" x14ac:dyDescent="0.25">
      <c r="C2508" s="3"/>
    </row>
    <row r="2509" spans="3:3" x14ac:dyDescent="0.25">
      <c r="C2509" s="3"/>
    </row>
    <row r="2510" spans="3:3" x14ac:dyDescent="0.25">
      <c r="C2510" s="3"/>
    </row>
    <row r="2511" spans="3:3" x14ac:dyDescent="0.25">
      <c r="C2511" s="3"/>
    </row>
    <row r="2512" spans="3:3" x14ac:dyDescent="0.25">
      <c r="C2512" s="3"/>
    </row>
    <row r="2513" spans="3:3" x14ac:dyDescent="0.25">
      <c r="C2513" s="3"/>
    </row>
    <row r="2514" spans="3:3" x14ac:dyDescent="0.25">
      <c r="C2514" s="3"/>
    </row>
    <row r="2515" spans="3:3" x14ac:dyDescent="0.25">
      <c r="C2515" s="3"/>
    </row>
    <row r="2516" spans="3:3" x14ac:dyDescent="0.25">
      <c r="C2516" s="3"/>
    </row>
    <row r="2517" spans="3:3" x14ac:dyDescent="0.25">
      <c r="C2517" s="3"/>
    </row>
    <row r="2518" spans="3:3" x14ac:dyDescent="0.25">
      <c r="C2518" s="3"/>
    </row>
    <row r="2519" spans="3:3" x14ac:dyDescent="0.25">
      <c r="C2519" s="3"/>
    </row>
    <row r="2520" spans="3:3" x14ac:dyDescent="0.25">
      <c r="C2520" s="3"/>
    </row>
    <row r="2521" spans="3:3" x14ac:dyDescent="0.25">
      <c r="C2521" s="3"/>
    </row>
    <row r="2522" spans="3:3" x14ac:dyDescent="0.25">
      <c r="C2522" s="3"/>
    </row>
    <row r="2523" spans="3:3" x14ac:dyDescent="0.25">
      <c r="C2523" s="3"/>
    </row>
    <row r="2524" spans="3:3" x14ac:dyDescent="0.25">
      <c r="C2524" s="3"/>
    </row>
    <row r="2525" spans="3:3" x14ac:dyDescent="0.25">
      <c r="C2525" s="3"/>
    </row>
    <row r="2526" spans="3:3" x14ac:dyDescent="0.25">
      <c r="C2526" s="3"/>
    </row>
    <row r="2527" spans="3:3" x14ac:dyDescent="0.25">
      <c r="C2527" s="3"/>
    </row>
    <row r="2528" spans="3:3" x14ac:dyDescent="0.25">
      <c r="C2528" s="3"/>
    </row>
    <row r="2529" spans="3:3" x14ac:dyDescent="0.25">
      <c r="C2529" s="3"/>
    </row>
    <row r="2530" spans="3:3" x14ac:dyDescent="0.25">
      <c r="C2530" s="3"/>
    </row>
    <row r="2531" spans="3:3" x14ac:dyDescent="0.25">
      <c r="C2531" s="3"/>
    </row>
    <row r="2532" spans="3:3" x14ac:dyDescent="0.25">
      <c r="C2532" s="3"/>
    </row>
    <row r="2533" spans="3:3" x14ac:dyDescent="0.25">
      <c r="C2533" s="3"/>
    </row>
    <row r="2534" spans="3:3" x14ac:dyDescent="0.25">
      <c r="C2534" s="3"/>
    </row>
    <row r="2535" spans="3:3" x14ac:dyDescent="0.25">
      <c r="C2535" s="3"/>
    </row>
    <row r="2536" spans="3:3" x14ac:dyDescent="0.25">
      <c r="C2536" s="3"/>
    </row>
    <row r="2537" spans="3:3" x14ac:dyDescent="0.25">
      <c r="C2537" s="3"/>
    </row>
    <row r="2538" spans="3:3" x14ac:dyDescent="0.25">
      <c r="C2538" s="3"/>
    </row>
    <row r="2539" spans="3:3" x14ac:dyDescent="0.25">
      <c r="C2539" s="3"/>
    </row>
    <row r="2540" spans="3:3" x14ac:dyDescent="0.25">
      <c r="C2540" s="3"/>
    </row>
    <row r="2541" spans="3:3" x14ac:dyDescent="0.25">
      <c r="C2541" s="3"/>
    </row>
    <row r="2542" spans="3:3" x14ac:dyDescent="0.25">
      <c r="C2542" s="3"/>
    </row>
    <row r="2543" spans="3:3" x14ac:dyDescent="0.25">
      <c r="C2543" s="3"/>
    </row>
    <row r="2544" spans="3:3" x14ac:dyDescent="0.25">
      <c r="C2544" s="3"/>
    </row>
    <row r="2545" spans="3:3" x14ac:dyDescent="0.25">
      <c r="C2545" s="3"/>
    </row>
    <row r="2546" spans="3:3" x14ac:dyDescent="0.25">
      <c r="C2546" s="3"/>
    </row>
    <row r="2547" spans="3:3" x14ac:dyDescent="0.25">
      <c r="C2547" s="3"/>
    </row>
    <row r="2548" spans="3:3" x14ac:dyDescent="0.25">
      <c r="C2548" s="3"/>
    </row>
    <row r="2549" spans="3:3" x14ac:dyDescent="0.25">
      <c r="C2549" s="3"/>
    </row>
    <row r="2550" spans="3:3" x14ac:dyDescent="0.25">
      <c r="C2550" s="3"/>
    </row>
    <row r="2551" spans="3:3" x14ac:dyDescent="0.25">
      <c r="C2551" s="3"/>
    </row>
    <row r="2552" spans="3:3" x14ac:dyDescent="0.25">
      <c r="C2552" s="3"/>
    </row>
    <row r="2553" spans="3:3" x14ac:dyDescent="0.25">
      <c r="C2553" s="3"/>
    </row>
    <row r="2554" spans="3:3" x14ac:dyDescent="0.25">
      <c r="C2554" s="3"/>
    </row>
    <row r="2555" spans="3:3" x14ac:dyDescent="0.25">
      <c r="C2555" s="3"/>
    </row>
    <row r="2556" spans="3:3" x14ac:dyDescent="0.25">
      <c r="C2556" s="3"/>
    </row>
    <row r="2557" spans="3:3" x14ac:dyDescent="0.25">
      <c r="C2557" s="3"/>
    </row>
    <row r="2558" spans="3:3" x14ac:dyDescent="0.25">
      <c r="C2558" s="3"/>
    </row>
    <row r="2559" spans="3:3" x14ac:dyDescent="0.25">
      <c r="C2559" s="3"/>
    </row>
    <row r="2560" spans="3:3" x14ac:dyDescent="0.25">
      <c r="C2560" s="3"/>
    </row>
    <row r="2561" spans="3:3" x14ac:dyDescent="0.25">
      <c r="C2561" s="3"/>
    </row>
    <row r="2562" spans="3:3" x14ac:dyDescent="0.25">
      <c r="C2562" s="3"/>
    </row>
    <row r="2563" spans="3:3" x14ac:dyDescent="0.25">
      <c r="C2563" s="3"/>
    </row>
    <row r="2564" spans="3:3" x14ac:dyDescent="0.25">
      <c r="C2564" s="3"/>
    </row>
    <row r="2565" spans="3:3" x14ac:dyDescent="0.25">
      <c r="C2565" s="3"/>
    </row>
    <row r="2566" spans="3:3" x14ac:dyDescent="0.25">
      <c r="C2566" s="3"/>
    </row>
    <row r="2567" spans="3:3" x14ac:dyDescent="0.25">
      <c r="C2567" s="3"/>
    </row>
    <row r="2568" spans="3:3" x14ac:dyDescent="0.25">
      <c r="C2568" s="3"/>
    </row>
    <row r="2569" spans="3:3" x14ac:dyDescent="0.25">
      <c r="C2569" s="3"/>
    </row>
    <row r="2570" spans="3:3" x14ac:dyDescent="0.25">
      <c r="C2570" s="3"/>
    </row>
    <row r="2571" spans="3:3" x14ac:dyDescent="0.25">
      <c r="C2571" s="3"/>
    </row>
    <row r="2572" spans="3:3" x14ac:dyDescent="0.25">
      <c r="C2572" s="3"/>
    </row>
    <row r="2573" spans="3:3" x14ac:dyDescent="0.25">
      <c r="C2573" s="3"/>
    </row>
    <row r="2574" spans="3:3" x14ac:dyDescent="0.25">
      <c r="C2574" s="3"/>
    </row>
    <row r="2575" spans="3:3" x14ac:dyDescent="0.25">
      <c r="C2575" s="3"/>
    </row>
    <row r="2576" spans="3:3" x14ac:dyDescent="0.25">
      <c r="C2576" s="3"/>
    </row>
    <row r="2577" spans="3:3" x14ac:dyDescent="0.25">
      <c r="C2577" s="3"/>
    </row>
    <row r="2578" spans="3:3" x14ac:dyDescent="0.25">
      <c r="C2578" s="3"/>
    </row>
    <row r="2579" spans="3:3" x14ac:dyDescent="0.25">
      <c r="C2579" s="3"/>
    </row>
    <row r="2580" spans="3:3" x14ac:dyDescent="0.25">
      <c r="C2580" s="3"/>
    </row>
    <row r="2581" spans="3:3" x14ac:dyDescent="0.25">
      <c r="C2581" s="3"/>
    </row>
    <row r="2582" spans="3:3" x14ac:dyDescent="0.25">
      <c r="C2582" s="3"/>
    </row>
    <row r="2583" spans="3:3" x14ac:dyDescent="0.25">
      <c r="C2583" s="3"/>
    </row>
    <row r="2584" spans="3:3" x14ac:dyDescent="0.25">
      <c r="C2584" s="3"/>
    </row>
    <row r="2585" spans="3:3" x14ac:dyDescent="0.25">
      <c r="C2585" s="3"/>
    </row>
    <row r="2586" spans="3:3" x14ac:dyDescent="0.25">
      <c r="C2586" s="3"/>
    </row>
    <row r="2587" spans="3:3" x14ac:dyDescent="0.25">
      <c r="C2587" s="3"/>
    </row>
    <row r="2588" spans="3:3" x14ac:dyDescent="0.25">
      <c r="C2588" s="3"/>
    </row>
    <row r="2589" spans="3:3" x14ac:dyDescent="0.25">
      <c r="C2589" s="3"/>
    </row>
    <row r="2590" spans="3:3" x14ac:dyDescent="0.25">
      <c r="C2590" s="3"/>
    </row>
    <row r="2591" spans="3:3" x14ac:dyDescent="0.25">
      <c r="C2591" s="3"/>
    </row>
    <row r="2592" spans="3:3" x14ac:dyDescent="0.25">
      <c r="C2592" s="3"/>
    </row>
    <row r="2593" spans="3:3" x14ac:dyDescent="0.25">
      <c r="C2593" s="3"/>
    </row>
    <row r="2594" spans="3:3" x14ac:dyDescent="0.25">
      <c r="C2594" s="3"/>
    </row>
    <row r="2595" spans="3:3" x14ac:dyDescent="0.25">
      <c r="C2595" s="3"/>
    </row>
    <row r="2596" spans="3:3" x14ac:dyDescent="0.25">
      <c r="C2596" s="3"/>
    </row>
    <row r="2597" spans="3:3" x14ac:dyDescent="0.25">
      <c r="C2597" s="3"/>
    </row>
    <row r="2598" spans="3:3" x14ac:dyDescent="0.25">
      <c r="C2598" s="3"/>
    </row>
    <row r="2599" spans="3:3" x14ac:dyDescent="0.25">
      <c r="C2599" s="3"/>
    </row>
    <row r="2600" spans="3:3" x14ac:dyDescent="0.25">
      <c r="C2600" s="3"/>
    </row>
    <row r="2601" spans="3:3" x14ac:dyDescent="0.25">
      <c r="C2601" s="3"/>
    </row>
    <row r="2602" spans="3:3" x14ac:dyDescent="0.25">
      <c r="C2602" s="3"/>
    </row>
    <row r="2603" spans="3:3" x14ac:dyDescent="0.25">
      <c r="C2603" s="3"/>
    </row>
    <row r="2604" spans="3:3" x14ac:dyDescent="0.25">
      <c r="C2604" s="3"/>
    </row>
    <row r="2605" spans="3:3" x14ac:dyDescent="0.25">
      <c r="C2605" s="3"/>
    </row>
    <row r="2606" spans="3:3" x14ac:dyDescent="0.25">
      <c r="C2606" s="3"/>
    </row>
    <row r="2607" spans="3:3" x14ac:dyDescent="0.25">
      <c r="C2607" s="3"/>
    </row>
    <row r="2608" spans="3:3" x14ac:dyDescent="0.25">
      <c r="C2608" s="3"/>
    </row>
    <row r="2609" spans="3:3" x14ac:dyDescent="0.25">
      <c r="C2609" s="3"/>
    </row>
    <row r="2610" spans="3:3" x14ac:dyDescent="0.25">
      <c r="C2610" s="3"/>
    </row>
    <row r="2611" spans="3:3" x14ac:dyDescent="0.25">
      <c r="C2611" s="3"/>
    </row>
    <row r="2612" spans="3:3" x14ac:dyDescent="0.25">
      <c r="C2612" s="3"/>
    </row>
    <row r="2613" spans="3:3" x14ac:dyDescent="0.25">
      <c r="C2613" s="3"/>
    </row>
    <row r="2614" spans="3:3" x14ac:dyDescent="0.25">
      <c r="C2614" s="3"/>
    </row>
    <row r="2615" spans="3:3" x14ac:dyDescent="0.25">
      <c r="C2615" s="3"/>
    </row>
    <row r="2616" spans="3:3" x14ac:dyDescent="0.25">
      <c r="C2616" s="3"/>
    </row>
    <row r="2617" spans="3:3" x14ac:dyDescent="0.25">
      <c r="C2617" s="3"/>
    </row>
    <row r="2618" spans="3:3" x14ac:dyDescent="0.25">
      <c r="C2618" s="3"/>
    </row>
    <row r="2619" spans="3:3" x14ac:dyDescent="0.25">
      <c r="C2619" s="3"/>
    </row>
    <row r="2620" spans="3:3" x14ac:dyDescent="0.25">
      <c r="C2620" s="3"/>
    </row>
    <row r="2621" spans="3:3" x14ac:dyDescent="0.25">
      <c r="C2621" s="3"/>
    </row>
    <row r="2622" spans="3:3" x14ac:dyDescent="0.25">
      <c r="C2622" s="3"/>
    </row>
    <row r="2623" spans="3:3" x14ac:dyDescent="0.25">
      <c r="C2623" s="3"/>
    </row>
    <row r="2624" spans="3:3" x14ac:dyDescent="0.25">
      <c r="C2624" s="3"/>
    </row>
    <row r="2625" spans="3:3" x14ac:dyDescent="0.25">
      <c r="C2625" s="3"/>
    </row>
    <row r="2626" spans="3:3" x14ac:dyDescent="0.25">
      <c r="C2626" s="3"/>
    </row>
    <row r="2627" spans="3:3" x14ac:dyDescent="0.25">
      <c r="C2627" s="3"/>
    </row>
    <row r="2628" spans="3:3" x14ac:dyDescent="0.25">
      <c r="C2628" s="3"/>
    </row>
    <row r="2629" spans="3:3" x14ac:dyDescent="0.25">
      <c r="C2629" s="3"/>
    </row>
    <row r="2630" spans="3:3" x14ac:dyDescent="0.25">
      <c r="C2630" s="3"/>
    </row>
    <row r="2631" spans="3:3" x14ac:dyDescent="0.25">
      <c r="C2631" s="3"/>
    </row>
    <row r="2632" spans="3:3" x14ac:dyDescent="0.25">
      <c r="C2632" s="3"/>
    </row>
    <row r="2633" spans="3:3" x14ac:dyDescent="0.25">
      <c r="C2633" s="3"/>
    </row>
    <row r="2634" spans="3:3" x14ac:dyDescent="0.25">
      <c r="C2634" s="3"/>
    </row>
    <row r="2635" spans="3:3" x14ac:dyDescent="0.25">
      <c r="C2635" s="3"/>
    </row>
    <row r="2636" spans="3:3" x14ac:dyDescent="0.25">
      <c r="C2636" s="3"/>
    </row>
    <row r="2637" spans="3:3" x14ac:dyDescent="0.25">
      <c r="C2637" s="3"/>
    </row>
    <row r="2638" spans="3:3" x14ac:dyDescent="0.25">
      <c r="C2638" s="3"/>
    </row>
    <row r="2639" spans="3:3" x14ac:dyDescent="0.25">
      <c r="C2639" s="3"/>
    </row>
    <row r="2640" spans="3:3" x14ac:dyDescent="0.25">
      <c r="C2640" s="3"/>
    </row>
    <row r="2641" spans="3:3" x14ac:dyDescent="0.25">
      <c r="C2641" s="3"/>
    </row>
    <row r="2642" spans="3:3" x14ac:dyDescent="0.25">
      <c r="C2642" s="3"/>
    </row>
    <row r="2643" spans="3:3" x14ac:dyDescent="0.25">
      <c r="C2643" s="3"/>
    </row>
    <row r="2644" spans="3:3" x14ac:dyDescent="0.25">
      <c r="C2644" s="3"/>
    </row>
    <row r="2645" spans="3:3" x14ac:dyDescent="0.25">
      <c r="C2645" s="3"/>
    </row>
    <row r="2646" spans="3:3" x14ac:dyDescent="0.25">
      <c r="C2646" s="3"/>
    </row>
    <row r="2647" spans="3:3" x14ac:dyDescent="0.25">
      <c r="C2647" s="3"/>
    </row>
    <row r="2648" spans="3:3" x14ac:dyDescent="0.25">
      <c r="C2648" s="3"/>
    </row>
    <row r="2649" spans="3:3" x14ac:dyDescent="0.25">
      <c r="C2649" s="3"/>
    </row>
    <row r="2650" spans="3:3" x14ac:dyDescent="0.25">
      <c r="C2650" s="3"/>
    </row>
    <row r="2651" spans="3:3" x14ac:dyDescent="0.25">
      <c r="C2651" s="3"/>
    </row>
    <row r="2652" spans="3:3" x14ac:dyDescent="0.25">
      <c r="C2652" s="3"/>
    </row>
    <row r="2653" spans="3:3" x14ac:dyDescent="0.25">
      <c r="C2653" s="3"/>
    </row>
    <row r="2654" spans="3:3" x14ac:dyDescent="0.25">
      <c r="C2654" s="3"/>
    </row>
    <row r="2655" spans="3:3" x14ac:dyDescent="0.25">
      <c r="C2655" s="3"/>
    </row>
    <row r="2656" spans="3:3" x14ac:dyDescent="0.25">
      <c r="C2656" s="3"/>
    </row>
    <row r="2657" spans="3:3" x14ac:dyDescent="0.25">
      <c r="C2657" s="3"/>
    </row>
    <row r="2658" spans="3:3" x14ac:dyDescent="0.25">
      <c r="C2658" s="3"/>
    </row>
    <row r="2659" spans="3:3" x14ac:dyDescent="0.25">
      <c r="C2659" s="3"/>
    </row>
    <row r="2660" spans="3:3" x14ac:dyDescent="0.25">
      <c r="C2660" s="3"/>
    </row>
    <row r="2661" spans="3:3" x14ac:dyDescent="0.25">
      <c r="C2661" s="3"/>
    </row>
    <row r="2662" spans="3:3" x14ac:dyDescent="0.25">
      <c r="C2662" s="3"/>
    </row>
    <row r="2663" spans="3:3" x14ac:dyDescent="0.25">
      <c r="C2663" s="3"/>
    </row>
    <row r="2664" spans="3:3" x14ac:dyDescent="0.25">
      <c r="C2664" s="3"/>
    </row>
    <row r="2665" spans="3:3" x14ac:dyDescent="0.25">
      <c r="C2665" s="3"/>
    </row>
    <row r="2666" spans="3:3" x14ac:dyDescent="0.25">
      <c r="C2666" s="3"/>
    </row>
    <row r="2667" spans="3:3" x14ac:dyDescent="0.25">
      <c r="C2667" s="3"/>
    </row>
    <row r="2668" spans="3:3" x14ac:dyDescent="0.25">
      <c r="C2668" s="3"/>
    </row>
    <row r="2669" spans="3:3" x14ac:dyDescent="0.25">
      <c r="C2669" s="3"/>
    </row>
    <row r="2670" spans="3:3" x14ac:dyDescent="0.25">
      <c r="C2670" s="3"/>
    </row>
    <row r="2671" spans="3:3" x14ac:dyDescent="0.25">
      <c r="C2671" s="3"/>
    </row>
    <row r="2672" spans="3:3" x14ac:dyDescent="0.25">
      <c r="C2672" s="3"/>
    </row>
    <row r="2673" spans="3:3" x14ac:dyDescent="0.25">
      <c r="C2673" s="3"/>
    </row>
    <row r="2674" spans="3:3" x14ac:dyDescent="0.25">
      <c r="C2674" s="3"/>
    </row>
    <row r="2675" spans="3:3" x14ac:dyDescent="0.25">
      <c r="C2675" s="3"/>
    </row>
    <row r="2676" spans="3:3" x14ac:dyDescent="0.25">
      <c r="C2676" s="3"/>
    </row>
    <row r="2677" spans="3:3" x14ac:dyDescent="0.25">
      <c r="C2677" s="3"/>
    </row>
    <row r="2678" spans="3:3" x14ac:dyDescent="0.25">
      <c r="C2678" s="3"/>
    </row>
    <row r="2679" spans="3:3" x14ac:dyDescent="0.25">
      <c r="C2679" s="3"/>
    </row>
    <row r="2680" spans="3:3" x14ac:dyDescent="0.25">
      <c r="C2680" s="3"/>
    </row>
    <row r="2681" spans="3:3" x14ac:dyDescent="0.25">
      <c r="C2681" s="3"/>
    </row>
    <row r="2682" spans="3:3" x14ac:dyDescent="0.25">
      <c r="C2682" s="3"/>
    </row>
    <row r="2683" spans="3:3" x14ac:dyDescent="0.25">
      <c r="C2683" s="3"/>
    </row>
    <row r="2684" spans="3:3" x14ac:dyDescent="0.25">
      <c r="C2684" s="3"/>
    </row>
    <row r="2685" spans="3:3" x14ac:dyDescent="0.25">
      <c r="C2685" s="3"/>
    </row>
    <row r="2686" spans="3:3" x14ac:dyDescent="0.25">
      <c r="C2686" s="3"/>
    </row>
    <row r="2687" spans="3:3" x14ac:dyDescent="0.25">
      <c r="C2687" s="3"/>
    </row>
    <row r="2688" spans="3:3" x14ac:dyDescent="0.25">
      <c r="C2688" s="3"/>
    </row>
    <row r="2689" spans="3:3" x14ac:dyDescent="0.25">
      <c r="C2689" s="3"/>
    </row>
    <row r="2690" spans="3:3" x14ac:dyDescent="0.25">
      <c r="C2690" s="3"/>
    </row>
    <row r="2691" spans="3:3" x14ac:dyDescent="0.25">
      <c r="C2691" s="3"/>
    </row>
    <row r="2692" spans="3:3" x14ac:dyDescent="0.25">
      <c r="C2692" s="3"/>
    </row>
    <row r="2693" spans="3:3" x14ac:dyDescent="0.25">
      <c r="C2693" s="3"/>
    </row>
    <row r="2694" spans="3:3" x14ac:dyDescent="0.25">
      <c r="C2694" s="3"/>
    </row>
    <row r="2695" spans="3:3" x14ac:dyDescent="0.25">
      <c r="C2695" s="3"/>
    </row>
    <row r="2696" spans="3:3" x14ac:dyDescent="0.25">
      <c r="C2696" s="3"/>
    </row>
    <row r="2697" spans="3:3" x14ac:dyDescent="0.25">
      <c r="C2697" s="3"/>
    </row>
    <row r="2698" spans="3:3" x14ac:dyDescent="0.25">
      <c r="C2698" s="3"/>
    </row>
    <row r="2699" spans="3:3" x14ac:dyDescent="0.25">
      <c r="C2699" s="3"/>
    </row>
    <row r="2700" spans="3:3" x14ac:dyDescent="0.25">
      <c r="C2700" s="3"/>
    </row>
    <row r="2701" spans="3:3" x14ac:dyDescent="0.25">
      <c r="C2701" s="3"/>
    </row>
    <row r="2702" spans="3:3" x14ac:dyDescent="0.25">
      <c r="C2702" s="3"/>
    </row>
    <row r="2703" spans="3:3" x14ac:dyDescent="0.25">
      <c r="C2703" s="3"/>
    </row>
    <row r="2704" spans="3:3" x14ac:dyDescent="0.25">
      <c r="C2704" s="3"/>
    </row>
    <row r="2705" spans="3:3" x14ac:dyDescent="0.25">
      <c r="C2705" s="3"/>
    </row>
    <row r="2706" spans="3:3" x14ac:dyDescent="0.25">
      <c r="C2706" s="3"/>
    </row>
    <row r="2707" spans="3:3" x14ac:dyDescent="0.25">
      <c r="C2707" s="3"/>
    </row>
    <row r="2708" spans="3:3" x14ac:dyDescent="0.25">
      <c r="C2708" s="3"/>
    </row>
    <row r="2709" spans="3:3" x14ac:dyDescent="0.25">
      <c r="C2709" s="3"/>
    </row>
    <row r="2710" spans="3:3" x14ac:dyDescent="0.25">
      <c r="C2710" s="3"/>
    </row>
    <row r="2711" spans="3:3" x14ac:dyDescent="0.25">
      <c r="C2711" s="3"/>
    </row>
    <row r="2712" spans="3:3" x14ac:dyDescent="0.25">
      <c r="C2712" s="3"/>
    </row>
    <row r="2713" spans="3:3" x14ac:dyDescent="0.25">
      <c r="C2713" s="3"/>
    </row>
    <row r="2714" spans="3:3" x14ac:dyDescent="0.25">
      <c r="C2714" s="3"/>
    </row>
    <row r="2715" spans="3:3" x14ac:dyDescent="0.25">
      <c r="C2715" s="3"/>
    </row>
    <row r="2716" spans="3:3" x14ac:dyDescent="0.25">
      <c r="C2716" s="3"/>
    </row>
    <row r="2717" spans="3:3" x14ac:dyDescent="0.25">
      <c r="C2717" s="3"/>
    </row>
    <row r="2718" spans="3:3" x14ac:dyDescent="0.25">
      <c r="C2718" s="3"/>
    </row>
    <row r="2719" spans="3:3" x14ac:dyDescent="0.25">
      <c r="C2719" s="3"/>
    </row>
    <row r="2720" spans="3:3" x14ac:dyDescent="0.25">
      <c r="C2720" s="3"/>
    </row>
    <row r="2721" spans="3:3" x14ac:dyDescent="0.25">
      <c r="C2721" s="3"/>
    </row>
    <row r="2722" spans="3:3" x14ac:dyDescent="0.25">
      <c r="C2722" s="3"/>
    </row>
    <row r="2723" spans="3:3" x14ac:dyDescent="0.25">
      <c r="C2723" s="3"/>
    </row>
    <row r="2724" spans="3:3" x14ac:dyDescent="0.25">
      <c r="C2724" s="3"/>
    </row>
    <row r="2725" spans="3:3" x14ac:dyDescent="0.25">
      <c r="C2725" s="3"/>
    </row>
    <row r="2726" spans="3:3" x14ac:dyDescent="0.25">
      <c r="C2726" s="3"/>
    </row>
    <row r="2727" spans="3:3" x14ac:dyDescent="0.25">
      <c r="C2727" s="3"/>
    </row>
    <row r="2728" spans="3:3" x14ac:dyDescent="0.25">
      <c r="C2728" s="3"/>
    </row>
    <row r="2729" spans="3:3" x14ac:dyDescent="0.25">
      <c r="C2729" s="3"/>
    </row>
    <row r="2730" spans="3:3" x14ac:dyDescent="0.25">
      <c r="C2730" s="3"/>
    </row>
    <row r="2731" spans="3:3" x14ac:dyDescent="0.25">
      <c r="C2731" s="3"/>
    </row>
    <row r="2732" spans="3:3" x14ac:dyDescent="0.25">
      <c r="C2732" s="3"/>
    </row>
    <row r="2733" spans="3:3" x14ac:dyDescent="0.25">
      <c r="C2733" s="3"/>
    </row>
    <row r="2734" spans="3:3" x14ac:dyDescent="0.25">
      <c r="C2734" s="3"/>
    </row>
    <row r="2735" spans="3:3" x14ac:dyDescent="0.25">
      <c r="C2735" s="3"/>
    </row>
    <row r="2736" spans="3:3" x14ac:dyDescent="0.25">
      <c r="C2736" s="3"/>
    </row>
    <row r="2737" spans="3:3" x14ac:dyDescent="0.25">
      <c r="C2737" s="3"/>
    </row>
    <row r="2738" spans="3:3" x14ac:dyDescent="0.25">
      <c r="C2738" s="3"/>
    </row>
    <row r="2739" spans="3:3" x14ac:dyDescent="0.25">
      <c r="C2739" s="3"/>
    </row>
    <row r="2740" spans="3:3" x14ac:dyDescent="0.25">
      <c r="C2740" s="3"/>
    </row>
    <row r="2741" spans="3:3" x14ac:dyDescent="0.25">
      <c r="C2741" s="3"/>
    </row>
    <row r="2742" spans="3:3" x14ac:dyDescent="0.25">
      <c r="C2742" s="3"/>
    </row>
    <row r="2743" spans="3:3" x14ac:dyDescent="0.25">
      <c r="C2743" s="3"/>
    </row>
    <row r="2744" spans="3:3" x14ac:dyDescent="0.25">
      <c r="C2744" s="3"/>
    </row>
    <row r="2745" spans="3:3" x14ac:dyDescent="0.25">
      <c r="C2745" s="3"/>
    </row>
    <row r="2746" spans="3:3" x14ac:dyDescent="0.25">
      <c r="C2746" s="3"/>
    </row>
    <row r="2747" spans="3:3" x14ac:dyDescent="0.25">
      <c r="C2747" s="3"/>
    </row>
    <row r="2748" spans="3:3" x14ac:dyDescent="0.25">
      <c r="C2748" s="3"/>
    </row>
    <row r="2749" spans="3:3" x14ac:dyDescent="0.25">
      <c r="C2749" s="3"/>
    </row>
    <row r="2750" spans="3:3" x14ac:dyDescent="0.25">
      <c r="C2750" s="3"/>
    </row>
    <row r="2751" spans="3:3" x14ac:dyDescent="0.25">
      <c r="C2751" s="3"/>
    </row>
    <row r="2752" spans="3:3" x14ac:dyDescent="0.25">
      <c r="C2752" s="3"/>
    </row>
    <row r="2753" spans="3:3" x14ac:dyDescent="0.25">
      <c r="C2753" s="3"/>
    </row>
    <row r="2754" spans="3:3" x14ac:dyDescent="0.25">
      <c r="C2754" s="3"/>
    </row>
    <row r="2755" spans="3:3" x14ac:dyDescent="0.25">
      <c r="C2755" s="3"/>
    </row>
    <row r="2756" spans="3:3" x14ac:dyDescent="0.25">
      <c r="C2756" s="3"/>
    </row>
    <row r="2757" spans="3:3" x14ac:dyDescent="0.25">
      <c r="C2757" s="3"/>
    </row>
    <row r="2758" spans="3:3" x14ac:dyDescent="0.25">
      <c r="C2758" s="3"/>
    </row>
    <row r="2759" spans="3:3" x14ac:dyDescent="0.25">
      <c r="C2759" s="3"/>
    </row>
    <row r="2760" spans="3:3" x14ac:dyDescent="0.25">
      <c r="C2760" s="3"/>
    </row>
    <row r="2761" spans="3:3" x14ac:dyDescent="0.25">
      <c r="C2761" s="3"/>
    </row>
    <row r="2762" spans="3:3" x14ac:dyDescent="0.25">
      <c r="C2762" s="3"/>
    </row>
    <row r="2763" spans="3:3" x14ac:dyDescent="0.25">
      <c r="C2763" s="3"/>
    </row>
    <row r="2764" spans="3:3" x14ac:dyDescent="0.25">
      <c r="C2764" s="3"/>
    </row>
    <row r="2765" spans="3:3" x14ac:dyDescent="0.25">
      <c r="C2765" s="3"/>
    </row>
    <row r="2766" spans="3:3" x14ac:dyDescent="0.25">
      <c r="C2766" s="3"/>
    </row>
    <row r="2767" spans="3:3" x14ac:dyDescent="0.25">
      <c r="C2767" s="3"/>
    </row>
    <row r="2768" spans="3:3" x14ac:dyDescent="0.25">
      <c r="C2768" s="3"/>
    </row>
    <row r="2769" spans="3:3" x14ac:dyDescent="0.25">
      <c r="C2769" s="3"/>
    </row>
    <row r="2770" spans="3:3" x14ac:dyDescent="0.25">
      <c r="C2770" s="3"/>
    </row>
    <row r="2771" spans="3:3" x14ac:dyDescent="0.25">
      <c r="C2771" s="3"/>
    </row>
    <row r="2772" spans="3:3" x14ac:dyDescent="0.25">
      <c r="C2772" s="3"/>
    </row>
    <row r="2773" spans="3:3" x14ac:dyDescent="0.25">
      <c r="C2773" s="3"/>
    </row>
    <row r="2774" spans="3:3" x14ac:dyDescent="0.25">
      <c r="C2774" s="3"/>
    </row>
    <row r="2775" spans="3:3" x14ac:dyDescent="0.25">
      <c r="C2775" s="3"/>
    </row>
    <row r="2776" spans="3:3" x14ac:dyDescent="0.25">
      <c r="C2776" s="3"/>
    </row>
    <row r="2777" spans="3:3" x14ac:dyDescent="0.25">
      <c r="C2777" s="3"/>
    </row>
    <row r="2778" spans="3:3" x14ac:dyDescent="0.25">
      <c r="C2778" s="3"/>
    </row>
    <row r="2779" spans="3:3" x14ac:dyDescent="0.25">
      <c r="C2779" s="3"/>
    </row>
    <row r="2780" spans="3:3" x14ac:dyDescent="0.25">
      <c r="C2780" s="3"/>
    </row>
    <row r="2781" spans="3:3" x14ac:dyDescent="0.25">
      <c r="C2781" s="3"/>
    </row>
    <row r="2782" spans="3:3" x14ac:dyDescent="0.25">
      <c r="C2782" s="3"/>
    </row>
    <row r="2783" spans="3:3" x14ac:dyDescent="0.25">
      <c r="C2783" s="3"/>
    </row>
    <row r="2784" spans="3:3" x14ac:dyDescent="0.25">
      <c r="C2784" s="3"/>
    </row>
    <row r="2785" spans="3:3" x14ac:dyDescent="0.25">
      <c r="C2785" s="3"/>
    </row>
    <row r="2786" spans="3:3" x14ac:dyDescent="0.25">
      <c r="C2786" s="3"/>
    </row>
    <row r="2787" spans="3:3" x14ac:dyDescent="0.25">
      <c r="C2787" s="3"/>
    </row>
    <row r="2788" spans="3:3" x14ac:dyDescent="0.25">
      <c r="C2788" s="3"/>
    </row>
    <row r="2789" spans="3:3" x14ac:dyDescent="0.25">
      <c r="C2789" s="3"/>
    </row>
    <row r="2790" spans="3:3" x14ac:dyDescent="0.25">
      <c r="C2790" s="3"/>
    </row>
    <row r="2791" spans="3:3" x14ac:dyDescent="0.25">
      <c r="C2791" s="3"/>
    </row>
    <row r="2792" spans="3:3" x14ac:dyDescent="0.25">
      <c r="C2792" s="3"/>
    </row>
    <row r="2793" spans="3:3" x14ac:dyDescent="0.25">
      <c r="C2793" s="3"/>
    </row>
    <row r="2794" spans="3:3" x14ac:dyDescent="0.25">
      <c r="C2794" s="3"/>
    </row>
    <row r="2795" spans="3:3" x14ac:dyDescent="0.25">
      <c r="C2795" s="3"/>
    </row>
    <row r="2796" spans="3:3" x14ac:dyDescent="0.25">
      <c r="C2796" s="3"/>
    </row>
    <row r="2797" spans="3:3" x14ac:dyDescent="0.25">
      <c r="C2797" s="3"/>
    </row>
    <row r="2798" spans="3:3" x14ac:dyDescent="0.25">
      <c r="C2798" s="3"/>
    </row>
    <row r="2799" spans="3:3" x14ac:dyDescent="0.25">
      <c r="C2799" s="3"/>
    </row>
    <row r="2800" spans="3:3" x14ac:dyDescent="0.25">
      <c r="C2800" s="3"/>
    </row>
    <row r="2801" spans="3:3" x14ac:dyDescent="0.25">
      <c r="C2801" s="3"/>
    </row>
    <row r="2802" spans="3:3" x14ac:dyDescent="0.25">
      <c r="C2802" s="3"/>
    </row>
    <row r="2803" spans="3:3" x14ac:dyDescent="0.25">
      <c r="C2803" s="3"/>
    </row>
    <row r="2804" spans="3:3" x14ac:dyDescent="0.25">
      <c r="C2804" s="3"/>
    </row>
    <row r="2805" spans="3:3" x14ac:dyDescent="0.25">
      <c r="C2805" s="3"/>
    </row>
    <row r="2806" spans="3:3" x14ac:dyDescent="0.25">
      <c r="C2806" s="3"/>
    </row>
    <row r="2807" spans="3:3" x14ac:dyDescent="0.25">
      <c r="C2807" s="3"/>
    </row>
    <row r="2808" spans="3:3" x14ac:dyDescent="0.25">
      <c r="C2808" s="3"/>
    </row>
    <row r="2809" spans="3:3" x14ac:dyDescent="0.25">
      <c r="C2809" s="3"/>
    </row>
    <row r="2810" spans="3:3" x14ac:dyDescent="0.25">
      <c r="C2810" s="3"/>
    </row>
    <row r="2811" spans="3:3" x14ac:dyDescent="0.25">
      <c r="C2811" s="3"/>
    </row>
    <row r="2812" spans="3:3" x14ac:dyDescent="0.25">
      <c r="C2812" s="3"/>
    </row>
    <row r="2813" spans="3:3" x14ac:dyDescent="0.25">
      <c r="C2813" s="3"/>
    </row>
    <row r="2814" spans="3:3" x14ac:dyDescent="0.25">
      <c r="C2814" s="3"/>
    </row>
    <row r="2815" spans="3:3" x14ac:dyDescent="0.25">
      <c r="C2815" s="3"/>
    </row>
    <row r="2816" spans="3:3" x14ac:dyDescent="0.25">
      <c r="C2816" s="3"/>
    </row>
    <row r="2817" spans="3:3" x14ac:dyDescent="0.25">
      <c r="C2817" s="3"/>
    </row>
    <row r="2818" spans="3:3" x14ac:dyDescent="0.25">
      <c r="C2818" s="3"/>
    </row>
    <row r="2819" spans="3:3" x14ac:dyDescent="0.25">
      <c r="C2819" s="3"/>
    </row>
    <row r="2820" spans="3:3" x14ac:dyDescent="0.25">
      <c r="C2820" s="3"/>
    </row>
    <row r="2821" spans="3:3" x14ac:dyDescent="0.25">
      <c r="C2821" s="3"/>
    </row>
    <row r="2822" spans="3:3" x14ac:dyDescent="0.25">
      <c r="C2822" s="3"/>
    </row>
    <row r="2823" spans="3:3" x14ac:dyDescent="0.25">
      <c r="C2823" s="3"/>
    </row>
    <row r="2824" spans="3:3" x14ac:dyDescent="0.25">
      <c r="C2824" s="3"/>
    </row>
    <row r="2825" spans="3:3" x14ac:dyDescent="0.25">
      <c r="C2825" s="3"/>
    </row>
    <row r="2826" spans="3:3" x14ac:dyDescent="0.25">
      <c r="C2826" s="3"/>
    </row>
    <row r="2827" spans="3:3" x14ac:dyDescent="0.25">
      <c r="C2827" s="3"/>
    </row>
    <row r="2828" spans="3:3" x14ac:dyDescent="0.25">
      <c r="C2828" s="3"/>
    </row>
    <row r="2829" spans="3:3" x14ac:dyDescent="0.25">
      <c r="C2829" s="3"/>
    </row>
    <row r="2830" spans="3:3" x14ac:dyDescent="0.25">
      <c r="C2830" s="3"/>
    </row>
    <row r="2831" spans="3:3" x14ac:dyDescent="0.25">
      <c r="C2831" s="3"/>
    </row>
    <row r="2832" spans="3:3" x14ac:dyDescent="0.25">
      <c r="C2832" s="3"/>
    </row>
    <row r="2833" spans="3:3" x14ac:dyDescent="0.25">
      <c r="C2833" s="3"/>
    </row>
    <row r="2834" spans="3:3" x14ac:dyDescent="0.25">
      <c r="C2834" s="3"/>
    </row>
    <row r="2835" spans="3:3" x14ac:dyDescent="0.25">
      <c r="C2835" s="3"/>
    </row>
    <row r="2836" spans="3:3" x14ac:dyDescent="0.25">
      <c r="C2836" s="3"/>
    </row>
    <row r="2837" spans="3:3" x14ac:dyDescent="0.25">
      <c r="C2837" s="3"/>
    </row>
    <row r="2838" spans="3:3" x14ac:dyDescent="0.25">
      <c r="C2838" s="3"/>
    </row>
    <row r="2839" spans="3:3" x14ac:dyDescent="0.25">
      <c r="C2839" s="3"/>
    </row>
    <row r="2840" spans="3:3" x14ac:dyDescent="0.25">
      <c r="C2840" s="3"/>
    </row>
    <row r="2841" spans="3:3" x14ac:dyDescent="0.25">
      <c r="C2841" s="3"/>
    </row>
    <row r="2842" spans="3:3" x14ac:dyDescent="0.25">
      <c r="C2842" s="3"/>
    </row>
    <row r="2843" spans="3:3" x14ac:dyDescent="0.25">
      <c r="C2843" s="3"/>
    </row>
    <row r="2844" spans="3:3" x14ac:dyDescent="0.25">
      <c r="C2844" s="3"/>
    </row>
    <row r="2845" spans="3:3" x14ac:dyDescent="0.25">
      <c r="C2845" s="3"/>
    </row>
    <row r="2846" spans="3:3" x14ac:dyDescent="0.25">
      <c r="C2846" s="3"/>
    </row>
    <row r="2847" spans="3:3" x14ac:dyDescent="0.25">
      <c r="C2847" s="3"/>
    </row>
    <row r="2848" spans="3:3" x14ac:dyDescent="0.25">
      <c r="C2848" s="3"/>
    </row>
    <row r="2849" spans="3:3" x14ac:dyDescent="0.25">
      <c r="C2849" s="3"/>
    </row>
    <row r="2850" spans="3:3" x14ac:dyDescent="0.25">
      <c r="C2850" s="3"/>
    </row>
    <row r="2851" spans="3:3" x14ac:dyDescent="0.25">
      <c r="C2851" s="3"/>
    </row>
    <row r="2852" spans="3:3" x14ac:dyDescent="0.25">
      <c r="C2852" s="3"/>
    </row>
    <row r="2853" spans="3:3" x14ac:dyDescent="0.25">
      <c r="C2853" s="3"/>
    </row>
    <row r="2854" spans="3:3" x14ac:dyDescent="0.25">
      <c r="C2854" s="3"/>
    </row>
    <row r="2855" spans="3:3" x14ac:dyDescent="0.25">
      <c r="C2855" s="3"/>
    </row>
    <row r="2856" spans="3:3" x14ac:dyDescent="0.25">
      <c r="C2856" s="3"/>
    </row>
    <row r="2857" spans="3:3" x14ac:dyDescent="0.25">
      <c r="C2857" s="3"/>
    </row>
    <row r="2858" spans="3:3" x14ac:dyDescent="0.25">
      <c r="C2858" s="3"/>
    </row>
    <row r="2859" spans="3:3" x14ac:dyDescent="0.25">
      <c r="C2859" s="3"/>
    </row>
    <row r="2860" spans="3:3" x14ac:dyDescent="0.25">
      <c r="C2860" s="3"/>
    </row>
    <row r="2861" spans="3:3" x14ac:dyDescent="0.25">
      <c r="C2861" s="3"/>
    </row>
    <row r="2862" spans="3:3" x14ac:dyDescent="0.25">
      <c r="C2862" s="3"/>
    </row>
    <row r="2863" spans="3:3" x14ac:dyDescent="0.25">
      <c r="C2863" s="3"/>
    </row>
    <row r="2864" spans="3:3" x14ac:dyDescent="0.25">
      <c r="C2864" s="3"/>
    </row>
    <row r="2865" spans="3:3" x14ac:dyDescent="0.25">
      <c r="C2865" s="3"/>
    </row>
    <row r="2866" spans="3:3" x14ac:dyDescent="0.25">
      <c r="C2866" s="3"/>
    </row>
    <row r="2867" spans="3:3" x14ac:dyDescent="0.25">
      <c r="C2867" s="3"/>
    </row>
    <row r="2868" spans="3:3" x14ac:dyDescent="0.25">
      <c r="C2868" s="3"/>
    </row>
    <row r="2869" spans="3:3" x14ac:dyDescent="0.25">
      <c r="C2869" s="3"/>
    </row>
    <row r="2870" spans="3:3" x14ac:dyDescent="0.25">
      <c r="C2870" s="3"/>
    </row>
    <row r="2871" spans="3:3" x14ac:dyDescent="0.25">
      <c r="C2871" s="3"/>
    </row>
    <row r="2872" spans="3:3" x14ac:dyDescent="0.25">
      <c r="C2872" s="3"/>
    </row>
    <row r="2873" spans="3:3" x14ac:dyDescent="0.25">
      <c r="C2873" s="3"/>
    </row>
    <row r="2874" spans="3:3" x14ac:dyDescent="0.25">
      <c r="C2874" s="3"/>
    </row>
    <row r="2875" spans="3:3" x14ac:dyDescent="0.25">
      <c r="C2875" s="3"/>
    </row>
    <row r="2876" spans="3:3" x14ac:dyDescent="0.25">
      <c r="C2876" s="3"/>
    </row>
    <row r="2877" spans="3:3" x14ac:dyDescent="0.25">
      <c r="C2877" s="3"/>
    </row>
    <row r="2878" spans="3:3" x14ac:dyDescent="0.25">
      <c r="C2878" s="3"/>
    </row>
    <row r="2879" spans="3:3" x14ac:dyDescent="0.25">
      <c r="C2879" s="3"/>
    </row>
    <row r="2880" spans="3:3" x14ac:dyDescent="0.25">
      <c r="C2880" s="3"/>
    </row>
    <row r="2881" spans="3:3" x14ac:dyDescent="0.25">
      <c r="C2881" s="3"/>
    </row>
    <row r="2882" spans="3:3" x14ac:dyDescent="0.25">
      <c r="C2882" s="3"/>
    </row>
    <row r="2883" spans="3:3" x14ac:dyDescent="0.25">
      <c r="C2883" s="3"/>
    </row>
    <row r="2884" spans="3:3" x14ac:dyDescent="0.25">
      <c r="C2884" s="3"/>
    </row>
    <row r="2885" spans="3:3" x14ac:dyDescent="0.25">
      <c r="C2885" s="3"/>
    </row>
    <row r="2886" spans="3:3" x14ac:dyDescent="0.25">
      <c r="C2886" s="3"/>
    </row>
    <row r="2887" spans="3:3" x14ac:dyDescent="0.25">
      <c r="C2887" s="3"/>
    </row>
    <row r="2888" spans="3:3" x14ac:dyDescent="0.25">
      <c r="C2888" s="3"/>
    </row>
    <row r="2889" spans="3:3" x14ac:dyDescent="0.25">
      <c r="C2889" s="3"/>
    </row>
    <row r="2890" spans="3:3" x14ac:dyDescent="0.25">
      <c r="C2890" s="3"/>
    </row>
    <row r="2891" spans="3:3" x14ac:dyDescent="0.25">
      <c r="C2891" s="3"/>
    </row>
    <row r="2892" spans="3:3" x14ac:dyDescent="0.25">
      <c r="C2892" s="3"/>
    </row>
    <row r="2893" spans="3:3" x14ac:dyDescent="0.25">
      <c r="C2893" s="3"/>
    </row>
    <row r="2894" spans="3:3" x14ac:dyDescent="0.25">
      <c r="C2894" s="3"/>
    </row>
    <row r="2895" spans="3:3" x14ac:dyDescent="0.25">
      <c r="C2895" s="3"/>
    </row>
    <row r="2896" spans="3:3" x14ac:dyDescent="0.25">
      <c r="C2896" s="3"/>
    </row>
    <row r="2897" spans="3:3" x14ac:dyDescent="0.25">
      <c r="C2897" s="3"/>
    </row>
    <row r="2898" spans="3:3" x14ac:dyDescent="0.25">
      <c r="C2898" s="3"/>
    </row>
    <row r="2899" spans="3:3" x14ac:dyDescent="0.25">
      <c r="C2899" s="3"/>
    </row>
    <row r="2900" spans="3:3" x14ac:dyDescent="0.25">
      <c r="C2900" s="3"/>
    </row>
    <row r="2901" spans="3:3" x14ac:dyDescent="0.25">
      <c r="C2901" s="3"/>
    </row>
    <row r="2902" spans="3:3" x14ac:dyDescent="0.25">
      <c r="C2902" s="3"/>
    </row>
    <row r="2903" spans="3:3" x14ac:dyDescent="0.25">
      <c r="C2903" s="3"/>
    </row>
    <row r="2904" spans="3:3" x14ac:dyDescent="0.25">
      <c r="C2904" s="3"/>
    </row>
    <row r="2905" spans="3:3" x14ac:dyDescent="0.25">
      <c r="C2905" s="3"/>
    </row>
    <row r="2906" spans="3:3" x14ac:dyDescent="0.25">
      <c r="C2906" s="3"/>
    </row>
    <row r="2907" spans="3:3" x14ac:dyDescent="0.25">
      <c r="C2907" s="3"/>
    </row>
    <row r="2908" spans="3:3" x14ac:dyDescent="0.25">
      <c r="C2908" s="3"/>
    </row>
    <row r="2909" spans="3:3" x14ac:dyDescent="0.25">
      <c r="C2909" s="3"/>
    </row>
    <row r="2910" spans="3:3" x14ac:dyDescent="0.25">
      <c r="C2910" s="3"/>
    </row>
    <row r="2911" spans="3:3" x14ac:dyDescent="0.25">
      <c r="C2911" s="3"/>
    </row>
    <row r="2912" spans="3:3" x14ac:dyDescent="0.25">
      <c r="C2912" s="3"/>
    </row>
    <row r="2913" spans="3:3" x14ac:dyDescent="0.25">
      <c r="C2913" s="3"/>
    </row>
    <row r="2914" spans="3:3" x14ac:dyDescent="0.25">
      <c r="C2914" s="3"/>
    </row>
    <row r="2915" spans="3:3" x14ac:dyDescent="0.25">
      <c r="C2915" s="3"/>
    </row>
    <row r="2916" spans="3:3" x14ac:dyDescent="0.25">
      <c r="C2916" s="3"/>
    </row>
    <row r="2917" spans="3:3" x14ac:dyDescent="0.25">
      <c r="C2917" s="3"/>
    </row>
    <row r="2918" spans="3:3" x14ac:dyDescent="0.25">
      <c r="C2918" s="3"/>
    </row>
    <row r="2919" spans="3:3" x14ac:dyDescent="0.25">
      <c r="C2919" s="3"/>
    </row>
    <row r="2920" spans="3:3" x14ac:dyDescent="0.25">
      <c r="C2920" s="3"/>
    </row>
    <row r="2921" spans="3:3" x14ac:dyDescent="0.25">
      <c r="C2921" s="3"/>
    </row>
    <row r="2922" spans="3:3" x14ac:dyDescent="0.25">
      <c r="C2922" s="3"/>
    </row>
    <row r="2923" spans="3:3" x14ac:dyDescent="0.25">
      <c r="C2923" s="3"/>
    </row>
    <row r="2924" spans="3:3" x14ac:dyDescent="0.25">
      <c r="C2924" s="3"/>
    </row>
    <row r="2925" spans="3:3" x14ac:dyDescent="0.25">
      <c r="C2925" s="3"/>
    </row>
    <row r="2926" spans="3:3" x14ac:dyDescent="0.25">
      <c r="C2926" s="3"/>
    </row>
    <row r="2927" spans="3:3" x14ac:dyDescent="0.25">
      <c r="C2927" s="3"/>
    </row>
    <row r="2928" spans="3:3" x14ac:dyDescent="0.25">
      <c r="C2928" s="3"/>
    </row>
    <row r="2929" spans="3:3" x14ac:dyDescent="0.25">
      <c r="C2929" s="3"/>
    </row>
    <row r="2930" spans="3:3" x14ac:dyDescent="0.25">
      <c r="C2930" s="3"/>
    </row>
    <row r="2931" spans="3:3" x14ac:dyDescent="0.25">
      <c r="C2931" s="3"/>
    </row>
    <row r="2932" spans="3:3" x14ac:dyDescent="0.25">
      <c r="C2932" s="3"/>
    </row>
    <row r="2933" spans="3:3" x14ac:dyDescent="0.25">
      <c r="C2933" s="3"/>
    </row>
    <row r="2934" spans="3:3" x14ac:dyDescent="0.25">
      <c r="C2934" s="3"/>
    </row>
    <row r="2935" spans="3:3" x14ac:dyDescent="0.25">
      <c r="C2935" s="3"/>
    </row>
    <row r="2936" spans="3:3" x14ac:dyDescent="0.25">
      <c r="C2936" s="3"/>
    </row>
    <row r="2937" spans="3:3" x14ac:dyDescent="0.25">
      <c r="C2937" s="3"/>
    </row>
    <row r="2938" spans="3:3" x14ac:dyDescent="0.25">
      <c r="C2938" s="3"/>
    </row>
    <row r="2939" spans="3:3" x14ac:dyDescent="0.25">
      <c r="C2939" s="3"/>
    </row>
    <row r="2940" spans="3:3" x14ac:dyDescent="0.25">
      <c r="C2940" s="3"/>
    </row>
    <row r="2941" spans="3:3" x14ac:dyDescent="0.25">
      <c r="C2941" s="3"/>
    </row>
    <row r="2942" spans="3:3" x14ac:dyDescent="0.25">
      <c r="C2942" s="3"/>
    </row>
    <row r="2943" spans="3:3" x14ac:dyDescent="0.25">
      <c r="C2943" s="3"/>
    </row>
    <row r="2944" spans="3:3" x14ac:dyDescent="0.25">
      <c r="C2944" s="3"/>
    </row>
    <row r="2945" spans="3:3" x14ac:dyDescent="0.25">
      <c r="C2945" s="3"/>
    </row>
    <row r="2946" spans="3:3" x14ac:dyDescent="0.25">
      <c r="C2946" s="3"/>
    </row>
    <row r="2947" spans="3:3" x14ac:dyDescent="0.25">
      <c r="C2947" s="3"/>
    </row>
    <row r="2948" spans="3:3" x14ac:dyDescent="0.25">
      <c r="C2948" s="3"/>
    </row>
    <row r="2949" spans="3:3" x14ac:dyDescent="0.25">
      <c r="C2949" s="3"/>
    </row>
    <row r="2950" spans="3:3" x14ac:dyDescent="0.25">
      <c r="C2950" s="3"/>
    </row>
    <row r="2951" spans="3:3" x14ac:dyDescent="0.25">
      <c r="C2951" s="3"/>
    </row>
    <row r="2952" spans="3:3" x14ac:dyDescent="0.25">
      <c r="C2952" s="3"/>
    </row>
    <row r="2953" spans="3:3" x14ac:dyDescent="0.25">
      <c r="C2953" s="3"/>
    </row>
    <row r="2954" spans="3:3" x14ac:dyDescent="0.25">
      <c r="C2954" s="3"/>
    </row>
    <row r="2955" spans="3:3" x14ac:dyDescent="0.25">
      <c r="C2955" s="3"/>
    </row>
    <row r="2956" spans="3:3" x14ac:dyDescent="0.25">
      <c r="C2956" s="3"/>
    </row>
    <row r="2957" spans="3:3" x14ac:dyDescent="0.25">
      <c r="C2957" s="3"/>
    </row>
    <row r="2958" spans="3:3" x14ac:dyDescent="0.25">
      <c r="C2958" s="3"/>
    </row>
    <row r="2959" spans="3:3" x14ac:dyDescent="0.25">
      <c r="C2959" s="3"/>
    </row>
    <row r="2960" spans="3:3" x14ac:dyDescent="0.25">
      <c r="C2960" s="3"/>
    </row>
    <row r="2961" spans="3:3" x14ac:dyDescent="0.25">
      <c r="C2961" s="3"/>
    </row>
    <row r="2962" spans="3:3" x14ac:dyDescent="0.25">
      <c r="C2962" s="3"/>
    </row>
    <row r="2963" spans="3:3" x14ac:dyDescent="0.25">
      <c r="C2963" s="3"/>
    </row>
    <row r="2964" spans="3:3" x14ac:dyDescent="0.25">
      <c r="C2964" s="3"/>
    </row>
    <row r="2965" spans="3:3" x14ac:dyDescent="0.25">
      <c r="C2965" s="3"/>
    </row>
    <row r="2966" spans="3:3" x14ac:dyDescent="0.25">
      <c r="C2966" s="3"/>
    </row>
    <row r="2967" spans="3:3" x14ac:dyDescent="0.25">
      <c r="C2967" s="3"/>
    </row>
    <row r="2968" spans="3:3" x14ac:dyDescent="0.25">
      <c r="C2968" s="3"/>
    </row>
    <row r="2969" spans="3:3" x14ac:dyDescent="0.25">
      <c r="C2969" s="3"/>
    </row>
    <row r="2970" spans="3:3" x14ac:dyDescent="0.25">
      <c r="C2970" s="3"/>
    </row>
    <row r="2971" spans="3:3" x14ac:dyDescent="0.25">
      <c r="C2971" s="3"/>
    </row>
    <row r="2972" spans="3:3" x14ac:dyDescent="0.25">
      <c r="C2972" s="3"/>
    </row>
    <row r="2973" spans="3:3" x14ac:dyDescent="0.25">
      <c r="C2973" s="3"/>
    </row>
    <row r="2974" spans="3:3" x14ac:dyDescent="0.25">
      <c r="C2974" s="3"/>
    </row>
    <row r="2975" spans="3:3" x14ac:dyDescent="0.25">
      <c r="C2975" s="3"/>
    </row>
    <row r="2976" spans="3:3" x14ac:dyDescent="0.25">
      <c r="C2976" s="3"/>
    </row>
    <row r="2977" spans="3:3" x14ac:dyDescent="0.25">
      <c r="C2977" s="3"/>
    </row>
    <row r="2978" spans="3:3" x14ac:dyDescent="0.25">
      <c r="C2978" s="3"/>
    </row>
    <row r="2979" spans="3:3" x14ac:dyDescent="0.25">
      <c r="C2979" s="3"/>
    </row>
    <row r="2980" spans="3:3" x14ac:dyDescent="0.25">
      <c r="C2980" s="3"/>
    </row>
    <row r="2981" spans="3:3" x14ac:dyDescent="0.25">
      <c r="C2981" s="3"/>
    </row>
    <row r="2982" spans="3:3" x14ac:dyDescent="0.25">
      <c r="C2982" s="3"/>
    </row>
    <row r="2983" spans="3:3" x14ac:dyDescent="0.25">
      <c r="C2983" s="3"/>
    </row>
    <row r="2984" spans="3:3" x14ac:dyDescent="0.25">
      <c r="C2984" s="3"/>
    </row>
    <row r="2985" spans="3:3" x14ac:dyDescent="0.25">
      <c r="C2985" s="3"/>
    </row>
    <row r="2986" spans="3:3" x14ac:dyDescent="0.25">
      <c r="C2986" s="3"/>
    </row>
    <row r="2987" spans="3:3" x14ac:dyDescent="0.25">
      <c r="C2987" s="3"/>
    </row>
    <row r="2988" spans="3:3" x14ac:dyDescent="0.25">
      <c r="C2988" s="3"/>
    </row>
    <row r="2989" spans="3:3" x14ac:dyDescent="0.25">
      <c r="C2989" s="3"/>
    </row>
    <row r="2990" spans="3:3" x14ac:dyDescent="0.25">
      <c r="C2990" s="3"/>
    </row>
    <row r="2991" spans="3:3" x14ac:dyDescent="0.25">
      <c r="C2991" s="3"/>
    </row>
    <row r="2992" spans="3:3" x14ac:dyDescent="0.25">
      <c r="C2992" s="3"/>
    </row>
    <row r="2993" spans="3:3" x14ac:dyDescent="0.25">
      <c r="C2993" s="3"/>
    </row>
    <row r="2994" spans="3:3" x14ac:dyDescent="0.25">
      <c r="C2994" s="3"/>
    </row>
    <row r="2995" spans="3:3" x14ac:dyDescent="0.25">
      <c r="C2995" s="3"/>
    </row>
    <row r="2996" spans="3:3" x14ac:dyDescent="0.25">
      <c r="C2996" s="3"/>
    </row>
    <row r="2997" spans="3:3" x14ac:dyDescent="0.25">
      <c r="C2997" s="3"/>
    </row>
    <row r="2998" spans="3:3" x14ac:dyDescent="0.25">
      <c r="C2998" s="3"/>
    </row>
    <row r="2999" spans="3:3" x14ac:dyDescent="0.25">
      <c r="C2999" s="3"/>
    </row>
    <row r="3000" spans="3:3" x14ac:dyDescent="0.25">
      <c r="C3000" s="3"/>
    </row>
    <row r="3001" spans="3:3" x14ac:dyDescent="0.25">
      <c r="C3001" s="3"/>
    </row>
    <row r="3002" spans="3:3" x14ac:dyDescent="0.25">
      <c r="C3002" s="3"/>
    </row>
    <row r="3003" spans="3:3" x14ac:dyDescent="0.25">
      <c r="C3003" s="3"/>
    </row>
    <row r="3004" spans="3:3" x14ac:dyDescent="0.25">
      <c r="C3004" s="3"/>
    </row>
    <row r="3005" spans="3:3" x14ac:dyDescent="0.25">
      <c r="C3005" s="3"/>
    </row>
    <row r="3006" spans="3:3" x14ac:dyDescent="0.25">
      <c r="C3006" s="3"/>
    </row>
    <row r="3007" spans="3:3" x14ac:dyDescent="0.25">
      <c r="C3007" s="3"/>
    </row>
    <row r="3008" spans="3:3" x14ac:dyDescent="0.25">
      <c r="C3008" s="3"/>
    </row>
    <row r="3009" spans="3:3" x14ac:dyDescent="0.25">
      <c r="C3009" s="3"/>
    </row>
    <row r="3010" spans="3:3" x14ac:dyDescent="0.25">
      <c r="C3010" s="3"/>
    </row>
    <row r="3011" spans="3:3" x14ac:dyDescent="0.25">
      <c r="C3011" s="3"/>
    </row>
    <row r="3012" spans="3:3" x14ac:dyDescent="0.25">
      <c r="C3012" s="3"/>
    </row>
    <row r="3013" spans="3:3" x14ac:dyDescent="0.25">
      <c r="C3013" s="3"/>
    </row>
    <row r="3014" spans="3:3" x14ac:dyDescent="0.25">
      <c r="C3014" s="3"/>
    </row>
    <row r="3015" spans="3:3" x14ac:dyDescent="0.25">
      <c r="C3015" s="3"/>
    </row>
    <row r="3016" spans="3:3" x14ac:dyDescent="0.25">
      <c r="C3016" s="3"/>
    </row>
    <row r="3017" spans="3:3" x14ac:dyDescent="0.25">
      <c r="C3017" s="3"/>
    </row>
    <row r="3018" spans="3:3" x14ac:dyDescent="0.25">
      <c r="C3018" s="3"/>
    </row>
    <row r="3019" spans="3:3" x14ac:dyDescent="0.25">
      <c r="C3019" s="3"/>
    </row>
    <row r="3020" spans="3:3" x14ac:dyDescent="0.25">
      <c r="C3020" s="3"/>
    </row>
    <row r="3021" spans="3:3" x14ac:dyDescent="0.25">
      <c r="C3021" s="3"/>
    </row>
    <row r="3022" spans="3:3" x14ac:dyDescent="0.25">
      <c r="C3022" s="3"/>
    </row>
    <row r="3023" spans="3:3" x14ac:dyDescent="0.25">
      <c r="C3023" s="3"/>
    </row>
    <row r="3024" spans="3:3" x14ac:dyDescent="0.25">
      <c r="C3024" s="3"/>
    </row>
    <row r="3025" spans="3:3" x14ac:dyDescent="0.25">
      <c r="C3025" s="3"/>
    </row>
    <row r="3026" spans="3:3" x14ac:dyDescent="0.25">
      <c r="C3026" s="3"/>
    </row>
    <row r="3027" spans="3:3" x14ac:dyDescent="0.25">
      <c r="C3027" s="3"/>
    </row>
    <row r="3028" spans="3:3" x14ac:dyDescent="0.25">
      <c r="C3028" s="3"/>
    </row>
    <row r="3029" spans="3:3" x14ac:dyDescent="0.25">
      <c r="C3029" s="3"/>
    </row>
    <row r="3030" spans="3:3" x14ac:dyDescent="0.25">
      <c r="C3030" s="3"/>
    </row>
    <row r="3031" spans="3:3" x14ac:dyDescent="0.25">
      <c r="C3031" s="3"/>
    </row>
    <row r="3032" spans="3:3" x14ac:dyDescent="0.25">
      <c r="C3032" s="3"/>
    </row>
    <row r="3033" spans="3:3" x14ac:dyDescent="0.25">
      <c r="C3033" s="3"/>
    </row>
    <row r="3034" spans="3:3" x14ac:dyDescent="0.25">
      <c r="C3034" s="3"/>
    </row>
    <row r="3035" spans="3:3" x14ac:dyDescent="0.25">
      <c r="C3035" s="3"/>
    </row>
    <row r="3036" spans="3:3" x14ac:dyDescent="0.25">
      <c r="C3036" s="3"/>
    </row>
    <row r="3037" spans="3:3" x14ac:dyDescent="0.25">
      <c r="C3037" s="3"/>
    </row>
    <row r="3038" spans="3:3" x14ac:dyDescent="0.25">
      <c r="C3038" s="3"/>
    </row>
    <row r="3039" spans="3:3" x14ac:dyDescent="0.25">
      <c r="C3039" s="3"/>
    </row>
    <row r="3040" spans="3:3" x14ac:dyDescent="0.25">
      <c r="C3040" s="3"/>
    </row>
    <row r="3041" spans="3:3" x14ac:dyDescent="0.25">
      <c r="C3041" s="3"/>
    </row>
    <row r="3042" spans="3:3" x14ac:dyDescent="0.25">
      <c r="C3042" s="3"/>
    </row>
    <row r="3043" spans="3:3" x14ac:dyDescent="0.25">
      <c r="C3043" s="3"/>
    </row>
    <row r="3044" spans="3:3" x14ac:dyDescent="0.25">
      <c r="C3044" s="3"/>
    </row>
    <row r="3045" spans="3:3" x14ac:dyDescent="0.25">
      <c r="C3045" s="3"/>
    </row>
    <row r="3046" spans="3:3" x14ac:dyDescent="0.25">
      <c r="C3046" s="3"/>
    </row>
    <row r="3047" spans="3:3" x14ac:dyDescent="0.25">
      <c r="C3047" s="3"/>
    </row>
    <row r="3048" spans="3:3" x14ac:dyDescent="0.25">
      <c r="C3048" s="3"/>
    </row>
    <row r="3049" spans="3:3" x14ac:dyDescent="0.25">
      <c r="C3049" s="3"/>
    </row>
    <row r="3050" spans="3:3" x14ac:dyDescent="0.25">
      <c r="C3050" s="3"/>
    </row>
    <row r="3051" spans="3:3" x14ac:dyDescent="0.25">
      <c r="C3051" s="3"/>
    </row>
    <row r="3052" spans="3:3" x14ac:dyDescent="0.25">
      <c r="C3052" s="3"/>
    </row>
    <row r="3053" spans="3:3" x14ac:dyDescent="0.25">
      <c r="C3053" s="3"/>
    </row>
    <row r="3054" spans="3:3" x14ac:dyDescent="0.25">
      <c r="C3054" s="3"/>
    </row>
    <row r="3055" spans="3:3" x14ac:dyDescent="0.25">
      <c r="C3055" s="3"/>
    </row>
    <row r="3056" spans="3:3" x14ac:dyDescent="0.25">
      <c r="C3056" s="3"/>
    </row>
    <row r="3057" spans="3:3" x14ac:dyDescent="0.25">
      <c r="C3057" s="3"/>
    </row>
    <row r="3058" spans="3:3" x14ac:dyDescent="0.25">
      <c r="C3058" s="3"/>
    </row>
    <row r="3059" spans="3:3" x14ac:dyDescent="0.25">
      <c r="C3059" s="3"/>
    </row>
    <row r="3060" spans="3:3" x14ac:dyDescent="0.25">
      <c r="C3060" s="3"/>
    </row>
    <row r="3061" spans="3:3" x14ac:dyDescent="0.25">
      <c r="C3061" s="3"/>
    </row>
    <row r="3062" spans="3:3" x14ac:dyDescent="0.25">
      <c r="C3062" s="3"/>
    </row>
    <row r="3063" spans="3:3" x14ac:dyDescent="0.25">
      <c r="C3063" s="3"/>
    </row>
    <row r="3064" spans="3:3" x14ac:dyDescent="0.25">
      <c r="C3064" s="3"/>
    </row>
    <row r="3065" spans="3:3" x14ac:dyDescent="0.25">
      <c r="C3065" s="3"/>
    </row>
    <row r="3066" spans="3:3" x14ac:dyDescent="0.25">
      <c r="C3066" s="3"/>
    </row>
    <row r="3067" spans="3:3" x14ac:dyDescent="0.25">
      <c r="C3067" s="3"/>
    </row>
    <row r="3068" spans="3:3" x14ac:dyDescent="0.25">
      <c r="C3068" s="3"/>
    </row>
    <row r="3069" spans="3:3" x14ac:dyDescent="0.25">
      <c r="C3069" s="3"/>
    </row>
    <row r="3070" spans="3:3" x14ac:dyDescent="0.25">
      <c r="C3070" s="3"/>
    </row>
    <row r="3071" spans="3:3" x14ac:dyDescent="0.25">
      <c r="C3071" s="3"/>
    </row>
    <row r="3072" spans="3:3" x14ac:dyDescent="0.25">
      <c r="C3072" s="3"/>
    </row>
    <row r="3073" spans="3:3" x14ac:dyDescent="0.25">
      <c r="C3073" s="3"/>
    </row>
    <row r="3074" spans="3:3" x14ac:dyDescent="0.25">
      <c r="C3074" s="3"/>
    </row>
    <row r="3075" spans="3:3" x14ac:dyDescent="0.25">
      <c r="C3075" s="3"/>
    </row>
    <row r="3076" spans="3:3" x14ac:dyDescent="0.25">
      <c r="C3076" s="3"/>
    </row>
    <row r="3077" spans="3:3" x14ac:dyDescent="0.25">
      <c r="C3077" s="3"/>
    </row>
    <row r="3078" spans="3:3" x14ac:dyDescent="0.25">
      <c r="C3078" s="3"/>
    </row>
    <row r="3079" spans="3:3" x14ac:dyDescent="0.25">
      <c r="C3079" s="3"/>
    </row>
    <row r="3080" spans="3:3" x14ac:dyDescent="0.25">
      <c r="C3080" s="3"/>
    </row>
    <row r="3081" spans="3:3" x14ac:dyDescent="0.25">
      <c r="C3081" s="3"/>
    </row>
    <row r="3082" spans="3:3" x14ac:dyDescent="0.25">
      <c r="C3082" s="3"/>
    </row>
    <row r="3083" spans="3:3" x14ac:dyDescent="0.25">
      <c r="C3083" s="3"/>
    </row>
    <row r="3084" spans="3:3" x14ac:dyDescent="0.25">
      <c r="C3084" s="3"/>
    </row>
    <row r="3085" spans="3:3" x14ac:dyDescent="0.25">
      <c r="C3085" s="3"/>
    </row>
    <row r="3086" spans="3:3" x14ac:dyDescent="0.25">
      <c r="C3086" s="3"/>
    </row>
    <row r="3087" spans="3:3" x14ac:dyDescent="0.25">
      <c r="C3087" s="3"/>
    </row>
    <row r="3088" spans="3:3" x14ac:dyDescent="0.25">
      <c r="C3088" s="3"/>
    </row>
    <row r="3089" spans="3:3" x14ac:dyDescent="0.25">
      <c r="C3089" s="3"/>
    </row>
    <row r="3090" spans="3:3" x14ac:dyDescent="0.25">
      <c r="C3090" s="3"/>
    </row>
    <row r="3091" spans="3:3" x14ac:dyDescent="0.25">
      <c r="C3091" s="3"/>
    </row>
    <row r="3092" spans="3:3" x14ac:dyDescent="0.25">
      <c r="C3092" s="3"/>
    </row>
    <row r="3093" spans="3:3" x14ac:dyDescent="0.25">
      <c r="C3093" s="3"/>
    </row>
    <row r="3094" spans="3:3" x14ac:dyDescent="0.25">
      <c r="C3094" s="3"/>
    </row>
    <row r="3095" spans="3:3" x14ac:dyDescent="0.25">
      <c r="C3095" s="3"/>
    </row>
    <row r="3096" spans="3:3" x14ac:dyDescent="0.25">
      <c r="C3096" s="3"/>
    </row>
    <row r="3097" spans="3:3" x14ac:dyDescent="0.25">
      <c r="C3097" s="3"/>
    </row>
    <row r="3098" spans="3:3" x14ac:dyDescent="0.25">
      <c r="C3098" s="3"/>
    </row>
    <row r="3099" spans="3:3" x14ac:dyDescent="0.25">
      <c r="C3099" s="3"/>
    </row>
    <row r="3100" spans="3:3" x14ac:dyDescent="0.25">
      <c r="C3100" s="3"/>
    </row>
    <row r="3101" spans="3:3" x14ac:dyDescent="0.25">
      <c r="C3101" s="3"/>
    </row>
    <row r="3102" spans="3:3" x14ac:dyDescent="0.25">
      <c r="C3102" s="3"/>
    </row>
    <row r="3103" spans="3:3" x14ac:dyDescent="0.25">
      <c r="C3103" s="3"/>
    </row>
    <row r="3104" spans="3:3" x14ac:dyDescent="0.25">
      <c r="C3104" s="3"/>
    </row>
    <row r="3105" spans="3:3" x14ac:dyDescent="0.25">
      <c r="C3105" s="3"/>
    </row>
    <row r="3106" spans="3:3" x14ac:dyDescent="0.25">
      <c r="C3106" s="3"/>
    </row>
    <row r="3107" spans="3:3" x14ac:dyDescent="0.25">
      <c r="C3107" s="3"/>
    </row>
    <row r="3108" spans="3:3" x14ac:dyDescent="0.25">
      <c r="C3108" s="3"/>
    </row>
    <row r="3109" spans="3:3" x14ac:dyDescent="0.25">
      <c r="C3109" s="3"/>
    </row>
    <row r="3110" spans="3:3" x14ac:dyDescent="0.25">
      <c r="C3110" s="3"/>
    </row>
    <row r="3111" spans="3:3" x14ac:dyDescent="0.25">
      <c r="C3111" s="3"/>
    </row>
    <row r="3112" spans="3:3" x14ac:dyDescent="0.25">
      <c r="C3112" s="3"/>
    </row>
    <row r="3113" spans="3:3" x14ac:dyDescent="0.25">
      <c r="C3113" s="3"/>
    </row>
    <row r="3114" spans="3:3" x14ac:dyDescent="0.25">
      <c r="C3114" s="3"/>
    </row>
    <row r="3115" spans="3:3" x14ac:dyDescent="0.25">
      <c r="C3115" s="3"/>
    </row>
    <row r="3116" spans="3:3" x14ac:dyDescent="0.25">
      <c r="C3116" s="3"/>
    </row>
    <row r="3117" spans="3:3" x14ac:dyDescent="0.25">
      <c r="C3117" s="3"/>
    </row>
    <row r="3118" spans="3:3" x14ac:dyDescent="0.25">
      <c r="C3118" s="3"/>
    </row>
    <row r="3119" spans="3:3" x14ac:dyDescent="0.25">
      <c r="C3119" s="3"/>
    </row>
    <row r="3120" spans="3:3" x14ac:dyDescent="0.25">
      <c r="C3120" s="3"/>
    </row>
    <row r="3121" spans="3:3" x14ac:dyDescent="0.25">
      <c r="C3121" s="3"/>
    </row>
    <row r="3122" spans="3:3" x14ac:dyDescent="0.25">
      <c r="C3122" s="3"/>
    </row>
    <row r="3123" spans="3:3" x14ac:dyDescent="0.25">
      <c r="C3123" s="3"/>
    </row>
    <row r="3124" spans="3:3" x14ac:dyDescent="0.25">
      <c r="C3124" s="3"/>
    </row>
    <row r="3125" spans="3:3" x14ac:dyDescent="0.25">
      <c r="C3125" s="3"/>
    </row>
    <row r="3126" spans="3:3" x14ac:dyDescent="0.25">
      <c r="C3126" s="3"/>
    </row>
    <row r="3127" spans="3:3" x14ac:dyDescent="0.25">
      <c r="C3127" s="3"/>
    </row>
    <row r="3128" spans="3:3" x14ac:dyDescent="0.25">
      <c r="C3128" s="3"/>
    </row>
    <row r="3129" spans="3:3" x14ac:dyDescent="0.25">
      <c r="C3129" s="3"/>
    </row>
    <row r="3130" spans="3:3" x14ac:dyDescent="0.25">
      <c r="C3130" s="3"/>
    </row>
    <row r="3131" spans="3:3" x14ac:dyDescent="0.25">
      <c r="C3131" s="3"/>
    </row>
    <row r="3132" spans="3:3" x14ac:dyDescent="0.25">
      <c r="C3132" s="3"/>
    </row>
    <row r="3133" spans="3:3" x14ac:dyDescent="0.25">
      <c r="C3133" s="3"/>
    </row>
    <row r="3134" spans="3:3" x14ac:dyDescent="0.25">
      <c r="C3134" s="3"/>
    </row>
    <row r="3135" spans="3:3" x14ac:dyDescent="0.25">
      <c r="C3135" s="3"/>
    </row>
    <row r="3136" spans="3:3" x14ac:dyDescent="0.25">
      <c r="C3136" s="3"/>
    </row>
    <row r="3137" spans="3:3" x14ac:dyDescent="0.25">
      <c r="C3137" s="3"/>
    </row>
    <row r="3138" spans="3:3" x14ac:dyDescent="0.25">
      <c r="C3138" s="3"/>
    </row>
    <row r="3139" spans="3:3" x14ac:dyDescent="0.25">
      <c r="C3139" s="3"/>
    </row>
    <row r="3140" spans="3:3" x14ac:dyDescent="0.25">
      <c r="C3140" s="3"/>
    </row>
    <row r="3141" spans="3:3" x14ac:dyDescent="0.25">
      <c r="C3141" s="3"/>
    </row>
    <row r="3142" spans="3:3" x14ac:dyDescent="0.25">
      <c r="C3142" s="3"/>
    </row>
    <row r="3143" spans="3:3" x14ac:dyDescent="0.25">
      <c r="C3143" s="3"/>
    </row>
    <row r="3144" spans="3:3" x14ac:dyDescent="0.25">
      <c r="C3144" s="3"/>
    </row>
    <row r="3145" spans="3:3" x14ac:dyDescent="0.25">
      <c r="C3145" s="3"/>
    </row>
    <row r="3146" spans="3:3" x14ac:dyDescent="0.25">
      <c r="C3146" s="3"/>
    </row>
    <row r="3147" spans="3:3" x14ac:dyDescent="0.25">
      <c r="C3147" s="3"/>
    </row>
    <row r="3148" spans="3:3" x14ac:dyDescent="0.25">
      <c r="C3148" s="3"/>
    </row>
    <row r="3149" spans="3:3" x14ac:dyDescent="0.25">
      <c r="C3149" s="3"/>
    </row>
    <row r="3150" spans="3:3" x14ac:dyDescent="0.25">
      <c r="C3150" s="3"/>
    </row>
    <row r="3151" spans="3:3" x14ac:dyDescent="0.25">
      <c r="C3151" s="3"/>
    </row>
    <row r="3152" spans="3:3" x14ac:dyDescent="0.25">
      <c r="C3152" s="3"/>
    </row>
    <row r="3153" spans="3:3" x14ac:dyDescent="0.25">
      <c r="C3153" s="3"/>
    </row>
    <row r="3154" spans="3:3" x14ac:dyDescent="0.25">
      <c r="C3154" s="3"/>
    </row>
    <row r="3155" spans="3:3" x14ac:dyDescent="0.25">
      <c r="C3155" s="3"/>
    </row>
    <row r="3156" spans="3:3" x14ac:dyDescent="0.25">
      <c r="C3156" s="3"/>
    </row>
    <row r="3157" spans="3:3" x14ac:dyDescent="0.25">
      <c r="C3157" s="3"/>
    </row>
    <row r="3158" spans="3:3" x14ac:dyDescent="0.25">
      <c r="C3158" s="3"/>
    </row>
    <row r="3159" spans="3:3" x14ac:dyDescent="0.25">
      <c r="C3159" s="3"/>
    </row>
    <row r="3160" spans="3:3" x14ac:dyDescent="0.25">
      <c r="C3160" s="3"/>
    </row>
    <row r="3161" spans="3:3" x14ac:dyDescent="0.25">
      <c r="C3161" s="3"/>
    </row>
    <row r="3162" spans="3:3" x14ac:dyDescent="0.25">
      <c r="C3162" s="3"/>
    </row>
    <row r="3163" spans="3:3" x14ac:dyDescent="0.25">
      <c r="C3163" s="3"/>
    </row>
    <row r="3164" spans="3:3" x14ac:dyDescent="0.25">
      <c r="C3164" s="3"/>
    </row>
    <row r="3165" spans="3:3" x14ac:dyDescent="0.25">
      <c r="C3165" s="3"/>
    </row>
    <row r="3166" spans="3:3" x14ac:dyDescent="0.25">
      <c r="C3166" s="3"/>
    </row>
    <row r="3167" spans="3:3" x14ac:dyDescent="0.25">
      <c r="C3167" s="3"/>
    </row>
    <row r="3168" spans="3:3" x14ac:dyDescent="0.25">
      <c r="C3168" s="3"/>
    </row>
    <row r="3169" spans="3:3" x14ac:dyDescent="0.25">
      <c r="C3169" s="3"/>
    </row>
    <row r="3170" spans="3:3" x14ac:dyDescent="0.25">
      <c r="C3170" s="3"/>
    </row>
    <row r="3171" spans="3:3" x14ac:dyDescent="0.25">
      <c r="C3171" s="3"/>
    </row>
    <row r="3172" spans="3:3" x14ac:dyDescent="0.25">
      <c r="C3172" s="3"/>
    </row>
    <row r="3173" spans="3:3" x14ac:dyDescent="0.25">
      <c r="C3173" s="3"/>
    </row>
    <row r="3174" spans="3:3" x14ac:dyDescent="0.25">
      <c r="C3174" s="3"/>
    </row>
    <row r="3175" spans="3:3" x14ac:dyDescent="0.25">
      <c r="C3175" s="3"/>
    </row>
    <row r="3176" spans="3:3" x14ac:dyDescent="0.25">
      <c r="C3176" s="3"/>
    </row>
    <row r="3177" spans="3:3" x14ac:dyDescent="0.25">
      <c r="C3177" s="3"/>
    </row>
    <row r="3178" spans="3:3" x14ac:dyDescent="0.25">
      <c r="C3178" s="3"/>
    </row>
    <row r="3179" spans="3:3" x14ac:dyDescent="0.25">
      <c r="C3179" s="3"/>
    </row>
    <row r="3180" spans="3:3" x14ac:dyDescent="0.25">
      <c r="C3180" s="3"/>
    </row>
    <row r="3181" spans="3:3" x14ac:dyDescent="0.25">
      <c r="C3181" s="3"/>
    </row>
    <row r="3182" spans="3:3" x14ac:dyDescent="0.25">
      <c r="C3182" s="3"/>
    </row>
    <row r="3183" spans="3:3" x14ac:dyDescent="0.25">
      <c r="C3183" s="3"/>
    </row>
    <row r="3184" spans="3:3" x14ac:dyDescent="0.25">
      <c r="C3184" s="3"/>
    </row>
    <row r="3185" spans="3:3" x14ac:dyDescent="0.25">
      <c r="C3185" s="3"/>
    </row>
    <row r="3186" spans="3:3" x14ac:dyDescent="0.25">
      <c r="C3186" s="3"/>
    </row>
    <row r="3187" spans="3:3" x14ac:dyDescent="0.25">
      <c r="C3187" s="3"/>
    </row>
    <row r="3188" spans="3:3" x14ac:dyDescent="0.25">
      <c r="C3188" s="3"/>
    </row>
    <row r="3189" spans="3:3" x14ac:dyDescent="0.25">
      <c r="C3189" s="3"/>
    </row>
    <row r="3190" spans="3:3" x14ac:dyDescent="0.25">
      <c r="C3190" s="3"/>
    </row>
    <row r="3191" spans="3:3" x14ac:dyDescent="0.25">
      <c r="C3191" s="3"/>
    </row>
    <row r="3192" spans="3:3" x14ac:dyDescent="0.25">
      <c r="C3192" s="3"/>
    </row>
    <row r="3193" spans="3:3" x14ac:dyDescent="0.25">
      <c r="C3193" s="3"/>
    </row>
    <row r="3194" spans="3:3" x14ac:dyDescent="0.25">
      <c r="C3194" s="3"/>
    </row>
    <row r="3195" spans="3:3" x14ac:dyDescent="0.25">
      <c r="C3195" s="3"/>
    </row>
    <row r="3196" spans="3:3" x14ac:dyDescent="0.25">
      <c r="C3196" s="3"/>
    </row>
    <row r="3197" spans="3:3" x14ac:dyDescent="0.25">
      <c r="C3197" s="3"/>
    </row>
    <row r="3198" spans="3:3" x14ac:dyDescent="0.25">
      <c r="C3198" s="3"/>
    </row>
    <row r="3199" spans="3:3" x14ac:dyDescent="0.25">
      <c r="C3199" s="3"/>
    </row>
    <row r="3200" spans="3:3" x14ac:dyDescent="0.25">
      <c r="C3200" s="3"/>
    </row>
    <row r="3201" spans="3:3" x14ac:dyDescent="0.25">
      <c r="C3201" s="3"/>
    </row>
    <row r="3202" spans="3:3" x14ac:dyDescent="0.25">
      <c r="C3202" s="3"/>
    </row>
    <row r="3203" spans="3:3" x14ac:dyDescent="0.25">
      <c r="C3203" s="3"/>
    </row>
    <row r="3204" spans="3:3" x14ac:dyDescent="0.25">
      <c r="C3204" s="3"/>
    </row>
    <row r="3205" spans="3:3" x14ac:dyDescent="0.25">
      <c r="C3205" s="3"/>
    </row>
    <row r="3206" spans="3:3" x14ac:dyDescent="0.25">
      <c r="C3206" s="3"/>
    </row>
    <row r="3207" spans="3:3" x14ac:dyDescent="0.25">
      <c r="C3207" s="3"/>
    </row>
    <row r="3208" spans="3:3" x14ac:dyDescent="0.25">
      <c r="C3208" s="3"/>
    </row>
    <row r="3209" spans="3:3" x14ac:dyDescent="0.25">
      <c r="C3209" s="3"/>
    </row>
    <row r="3210" spans="3:3" x14ac:dyDescent="0.25">
      <c r="C3210" s="3"/>
    </row>
    <row r="3211" spans="3:3" x14ac:dyDescent="0.25">
      <c r="C3211" s="3"/>
    </row>
    <row r="3212" spans="3:3" x14ac:dyDescent="0.25">
      <c r="C3212" s="3"/>
    </row>
    <row r="3213" spans="3:3" x14ac:dyDescent="0.25">
      <c r="C3213" s="3"/>
    </row>
    <row r="3214" spans="3:3" x14ac:dyDescent="0.25">
      <c r="C3214" s="3"/>
    </row>
    <row r="3215" spans="3:3" x14ac:dyDescent="0.25">
      <c r="C3215" s="3"/>
    </row>
    <row r="3216" spans="3:3" x14ac:dyDescent="0.25">
      <c r="C3216" s="3"/>
    </row>
    <row r="3217" spans="3:3" x14ac:dyDescent="0.25">
      <c r="C3217" s="3"/>
    </row>
    <row r="3218" spans="3:3" x14ac:dyDescent="0.25">
      <c r="C3218" s="3"/>
    </row>
    <row r="3219" spans="3:3" x14ac:dyDescent="0.25">
      <c r="C3219" s="3"/>
    </row>
    <row r="3220" spans="3:3" x14ac:dyDescent="0.25">
      <c r="C3220" s="3"/>
    </row>
    <row r="3221" spans="3:3" x14ac:dyDescent="0.25">
      <c r="C3221" s="3"/>
    </row>
    <row r="3222" spans="3:3" x14ac:dyDescent="0.25">
      <c r="C3222" s="3"/>
    </row>
    <row r="3223" spans="3:3" x14ac:dyDescent="0.25">
      <c r="C3223" s="3"/>
    </row>
    <row r="3224" spans="3:3" x14ac:dyDescent="0.25">
      <c r="C3224" s="3"/>
    </row>
    <row r="3225" spans="3:3" x14ac:dyDescent="0.25">
      <c r="C3225" s="3"/>
    </row>
    <row r="3226" spans="3:3" x14ac:dyDescent="0.25">
      <c r="C3226" s="3"/>
    </row>
    <row r="3227" spans="3:3" x14ac:dyDescent="0.25">
      <c r="C3227" s="3"/>
    </row>
    <row r="3228" spans="3:3" x14ac:dyDescent="0.25">
      <c r="C3228" s="3"/>
    </row>
    <row r="3229" spans="3:3" x14ac:dyDescent="0.25">
      <c r="C3229" s="3"/>
    </row>
    <row r="3230" spans="3:3" x14ac:dyDescent="0.25">
      <c r="C3230" s="3"/>
    </row>
    <row r="3231" spans="3:3" x14ac:dyDescent="0.25">
      <c r="C3231" s="3"/>
    </row>
    <row r="3232" spans="3:3" x14ac:dyDescent="0.25">
      <c r="C3232" s="3"/>
    </row>
    <row r="3233" spans="3:3" x14ac:dyDescent="0.25">
      <c r="C3233" s="3"/>
    </row>
    <row r="3234" spans="3:3" x14ac:dyDescent="0.25">
      <c r="C3234" s="3"/>
    </row>
    <row r="3235" spans="3:3" x14ac:dyDescent="0.25">
      <c r="C3235" s="3"/>
    </row>
    <row r="3236" spans="3:3" x14ac:dyDescent="0.25">
      <c r="C3236" s="3"/>
    </row>
    <row r="3237" spans="3:3" x14ac:dyDescent="0.25">
      <c r="C3237" s="3"/>
    </row>
    <row r="3238" spans="3:3" x14ac:dyDescent="0.25">
      <c r="C3238" s="3"/>
    </row>
    <row r="3239" spans="3:3" x14ac:dyDescent="0.25">
      <c r="C3239" s="3"/>
    </row>
    <row r="3240" spans="3:3" x14ac:dyDescent="0.25">
      <c r="C3240" s="3"/>
    </row>
    <row r="3241" spans="3:3" x14ac:dyDescent="0.25">
      <c r="C3241" s="3"/>
    </row>
    <row r="3242" spans="3:3" x14ac:dyDescent="0.25">
      <c r="C3242" s="3"/>
    </row>
    <row r="3243" spans="3:3" x14ac:dyDescent="0.25">
      <c r="C3243" s="3"/>
    </row>
    <row r="3244" spans="3:3" x14ac:dyDescent="0.25">
      <c r="C3244" s="3"/>
    </row>
    <row r="3245" spans="3:3" x14ac:dyDescent="0.25">
      <c r="C3245" s="3"/>
    </row>
    <row r="3246" spans="3:3" x14ac:dyDescent="0.25">
      <c r="C3246" s="3"/>
    </row>
    <row r="3247" spans="3:3" x14ac:dyDescent="0.25">
      <c r="C3247" s="3"/>
    </row>
    <row r="3248" spans="3:3" x14ac:dyDescent="0.25">
      <c r="C3248" s="3"/>
    </row>
    <row r="3249" spans="3:3" x14ac:dyDescent="0.25">
      <c r="C3249" s="3"/>
    </row>
    <row r="3250" spans="3:3" x14ac:dyDescent="0.25">
      <c r="C3250" s="3"/>
    </row>
    <row r="3251" spans="3:3" x14ac:dyDescent="0.25">
      <c r="C3251" s="3"/>
    </row>
    <row r="3252" spans="3:3" x14ac:dyDescent="0.25">
      <c r="C3252" s="3"/>
    </row>
    <row r="3253" spans="3:3" x14ac:dyDescent="0.25">
      <c r="C3253" s="3"/>
    </row>
    <row r="3254" spans="3:3" x14ac:dyDescent="0.25">
      <c r="C3254" s="3"/>
    </row>
    <row r="3255" spans="3:3" x14ac:dyDescent="0.25">
      <c r="C3255" s="3"/>
    </row>
    <row r="3256" spans="3:3" x14ac:dyDescent="0.25">
      <c r="C3256" s="3"/>
    </row>
    <row r="3257" spans="3:3" x14ac:dyDescent="0.25">
      <c r="C3257" s="3"/>
    </row>
    <row r="3258" spans="3:3" x14ac:dyDescent="0.25">
      <c r="C3258" s="3"/>
    </row>
    <row r="3259" spans="3:3" x14ac:dyDescent="0.25">
      <c r="C3259" s="3"/>
    </row>
    <row r="3260" spans="3:3" x14ac:dyDescent="0.25">
      <c r="C3260" s="3"/>
    </row>
    <row r="3261" spans="3:3" x14ac:dyDescent="0.25">
      <c r="C3261" s="3"/>
    </row>
    <row r="3262" spans="3:3" x14ac:dyDescent="0.25">
      <c r="C3262" s="3"/>
    </row>
    <row r="3263" spans="3:3" x14ac:dyDescent="0.25">
      <c r="C3263" s="3"/>
    </row>
    <row r="3264" spans="3:3" x14ac:dyDescent="0.25">
      <c r="C3264" s="3"/>
    </row>
    <row r="3265" spans="3:3" x14ac:dyDescent="0.25">
      <c r="C3265" s="3"/>
    </row>
    <row r="3266" spans="3:3" x14ac:dyDescent="0.25">
      <c r="C3266" s="3"/>
    </row>
    <row r="3267" spans="3:3" x14ac:dyDescent="0.25">
      <c r="C3267" s="3"/>
    </row>
    <row r="3268" spans="3:3" x14ac:dyDescent="0.25">
      <c r="C3268" s="3"/>
    </row>
    <row r="3269" spans="3:3" x14ac:dyDescent="0.25">
      <c r="C3269" s="3"/>
    </row>
    <row r="3270" spans="3:3" x14ac:dyDescent="0.25">
      <c r="C3270" s="3"/>
    </row>
    <row r="3271" spans="3:3" x14ac:dyDescent="0.25">
      <c r="C3271" s="3"/>
    </row>
    <row r="3272" spans="3:3" x14ac:dyDescent="0.25">
      <c r="C3272" s="3"/>
    </row>
    <row r="3273" spans="3:3" x14ac:dyDescent="0.25">
      <c r="C3273" s="3"/>
    </row>
    <row r="3274" spans="3:3" x14ac:dyDescent="0.25">
      <c r="C3274" s="3"/>
    </row>
    <row r="3275" spans="3:3" x14ac:dyDescent="0.25">
      <c r="C3275" s="3"/>
    </row>
    <row r="3276" spans="3:3" x14ac:dyDescent="0.25">
      <c r="C3276" s="3"/>
    </row>
    <row r="3277" spans="3:3" x14ac:dyDescent="0.25">
      <c r="C3277" s="3"/>
    </row>
    <row r="3278" spans="3:3" x14ac:dyDescent="0.25">
      <c r="C3278" s="3"/>
    </row>
    <row r="3279" spans="3:3" x14ac:dyDescent="0.25">
      <c r="C3279" s="3"/>
    </row>
    <row r="3280" spans="3:3" x14ac:dyDescent="0.25">
      <c r="C3280" s="3"/>
    </row>
    <row r="3281" spans="3:3" x14ac:dyDescent="0.25">
      <c r="C3281" s="3"/>
    </row>
    <row r="3282" spans="3:3" x14ac:dyDescent="0.25">
      <c r="C3282" s="3"/>
    </row>
    <row r="3283" spans="3:3" x14ac:dyDescent="0.25">
      <c r="C3283" s="3"/>
    </row>
    <row r="3284" spans="3:3" x14ac:dyDescent="0.25">
      <c r="C3284" s="3"/>
    </row>
    <row r="3285" spans="3:3" x14ac:dyDescent="0.25">
      <c r="C3285" s="3"/>
    </row>
    <row r="3286" spans="3:3" x14ac:dyDescent="0.25">
      <c r="C3286" s="3"/>
    </row>
    <row r="3287" spans="3:3" x14ac:dyDescent="0.25">
      <c r="C3287" s="3"/>
    </row>
    <row r="3288" spans="3:3" x14ac:dyDescent="0.25">
      <c r="C3288" s="3"/>
    </row>
    <row r="3289" spans="3:3" x14ac:dyDescent="0.25">
      <c r="C3289" s="3"/>
    </row>
    <row r="3290" spans="3:3" x14ac:dyDescent="0.25">
      <c r="C3290" s="3"/>
    </row>
    <row r="3291" spans="3:3" x14ac:dyDescent="0.25">
      <c r="C3291" s="3"/>
    </row>
    <row r="3292" spans="3:3" x14ac:dyDescent="0.25">
      <c r="C3292" s="3"/>
    </row>
    <row r="3293" spans="3:3" x14ac:dyDescent="0.25">
      <c r="C3293" s="3"/>
    </row>
    <row r="3294" spans="3:3" x14ac:dyDescent="0.25">
      <c r="C3294" s="3"/>
    </row>
    <row r="3295" spans="3:3" x14ac:dyDescent="0.25">
      <c r="C3295" s="3"/>
    </row>
    <row r="3296" spans="3:3" x14ac:dyDescent="0.25">
      <c r="C3296" s="3"/>
    </row>
    <row r="3297" spans="3:3" x14ac:dyDescent="0.25">
      <c r="C3297" s="3"/>
    </row>
    <row r="3298" spans="3:3" x14ac:dyDescent="0.25">
      <c r="C3298" s="3"/>
    </row>
    <row r="3299" spans="3:3" x14ac:dyDescent="0.25">
      <c r="C3299" s="3"/>
    </row>
    <row r="3300" spans="3:3" x14ac:dyDescent="0.25">
      <c r="C3300" s="3"/>
    </row>
    <row r="3301" spans="3:3" x14ac:dyDescent="0.25">
      <c r="C3301" s="3"/>
    </row>
    <row r="3302" spans="3:3" x14ac:dyDescent="0.25">
      <c r="C3302" s="3"/>
    </row>
    <row r="3303" spans="3:3" x14ac:dyDescent="0.25">
      <c r="C3303" s="3"/>
    </row>
    <row r="3304" spans="3:3" x14ac:dyDescent="0.25">
      <c r="C3304" s="3"/>
    </row>
    <row r="3305" spans="3:3" x14ac:dyDescent="0.25">
      <c r="C3305" s="3"/>
    </row>
    <row r="3306" spans="3:3" x14ac:dyDescent="0.25">
      <c r="C3306" s="3"/>
    </row>
    <row r="3307" spans="3:3" x14ac:dyDescent="0.25">
      <c r="C3307" s="3"/>
    </row>
    <row r="3308" spans="3:3" x14ac:dyDescent="0.25">
      <c r="C3308" s="3"/>
    </row>
    <row r="3309" spans="3:3" x14ac:dyDescent="0.25">
      <c r="C3309" s="3"/>
    </row>
    <row r="3310" spans="3:3" x14ac:dyDescent="0.25">
      <c r="C3310" s="3"/>
    </row>
    <row r="3311" spans="3:3" x14ac:dyDescent="0.25">
      <c r="C3311" s="3"/>
    </row>
    <row r="3312" spans="3:3" x14ac:dyDescent="0.25">
      <c r="C3312" s="3"/>
    </row>
    <row r="3313" spans="3:3" x14ac:dyDescent="0.25">
      <c r="C3313" s="3"/>
    </row>
    <row r="3314" spans="3:3" x14ac:dyDescent="0.25">
      <c r="C3314" s="3"/>
    </row>
    <row r="3315" spans="3:3" x14ac:dyDescent="0.25">
      <c r="C3315" s="3"/>
    </row>
    <row r="3316" spans="3:3" x14ac:dyDescent="0.25">
      <c r="C3316" s="3"/>
    </row>
    <row r="3317" spans="3:3" x14ac:dyDescent="0.25">
      <c r="C3317" s="3"/>
    </row>
    <row r="3318" spans="3:3" x14ac:dyDescent="0.25">
      <c r="C3318" s="3"/>
    </row>
    <row r="3319" spans="3:3" x14ac:dyDescent="0.25">
      <c r="C3319" s="3"/>
    </row>
    <row r="3320" spans="3:3" x14ac:dyDescent="0.25">
      <c r="C3320" s="3"/>
    </row>
    <row r="3321" spans="3:3" x14ac:dyDescent="0.25">
      <c r="C3321" s="3"/>
    </row>
    <row r="3322" spans="3:3" x14ac:dyDescent="0.25">
      <c r="C3322" s="3"/>
    </row>
    <row r="3323" spans="3:3" x14ac:dyDescent="0.25">
      <c r="C3323" s="3"/>
    </row>
    <row r="3324" spans="3:3" x14ac:dyDescent="0.25">
      <c r="C3324" s="3"/>
    </row>
    <row r="3325" spans="3:3" x14ac:dyDescent="0.25">
      <c r="C3325" s="3"/>
    </row>
    <row r="3326" spans="3:3" x14ac:dyDescent="0.25">
      <c r="C3326" s="3"/>
    </row>
    <row r="3327" spans="3:3" x14ac:dyDescent="0.25">
      <c r="C3327" s="3"/>
    </row>
    <row r="3328" spans="3:3" x14ac:dyDescent="0.25">
      <c r="C3328" s="3"/>
    </row>
    <row r="3329" spans="3:3" x14ac:dyDescent="0.25">
      <c r="C3329" s="3"/>
    </row>
    <row r="3330" spans="3:3" x14ac:dyDescent="0.25">
      <c r="C3330" s="3"/>
    </row>
    <row r="3331" spans="3:3" x14ac:dyDescent="0.25">
      <c r="C3331" s="3"/>
    </row>
    <row r="3332" spans="3:3" x14ac:dyDescent="0.25">
      <c r="C3332" s="3"/>
    </row>
    <row r="3333" spans="3:3" x14ac:dyDescent="0.25">
      <c r="C3333" s="3"/>
    </row>
    <row r="3334" spans="3:3" x14ac:dyDescent="0.25">
      <c r="C3334" s="3"/>
    </row>
    <row r="3335" spans="3:3" x14ac:dyDescent="0.25">
      <c r="C3335" s="3"/>
    </row>
    <row r="3336" spans="3:3" x14ac:dyDescent="0.25">
      <c r="C3336" s="3"/>
    </row>
    <row r="3337" spans="3:3" x14ac:dyDescent="0.25">
      <c r="C3337" s="3"/>
    </row>
    <row r="3338" spans="3:3" x14ac:dyDescent="0.25">
      <c r="C3338" s="3"/>
    </row>
    <row r="3339" spans="3:3" x14ac:dyDescent="0.25">
      <c r="C3339" s="3"/>
    </row>
    <row r="3340" spans="3:3" x14ac:dyDescent="0.25">
      <c r="C3340" s="3"/>
    </row>
    <row r="3341" spans="3:3" x14ac:dyDescent="0.25">
      <c r="C3341" s="3"/>
    </row>
    <row r="3342" spans="3:3" x14ac:dyDescent="0.25">
      <c r="C3342" s="3"/>
    </row>
    <row r="3343" spans="3:3" x14ac:dyDescent="0.25">
      <c r="C3343" s="3"/>
    </row>
    <row r="3344" spans="3:3" x14ac:dyDescent="0.25">
      <c r="C3344" s="3"/>
    </row>
    <row r="3345" spans="3:3" x14ac:dyDescent="0.25">
      <c r="C3345" s="3"/>
    </row>
    <row r="3346" spans="3:3" x14ac:dyDescent="0.25">
      <c r="C3346" s="3"/>
    </row>
    <row r="3347" spans="3:3" x14ac:dyDescent="0.25">
      <c r="C3347" s="3"/>
    </row>
    <row r="3348" spans="3:3" x14ac:dyDescent="0.25">
      <c r="C3348" s="3"/>
    </row>
    <row r="3349" spans="3:3" x14ac:dyDescent="0.25">
      <c r="C3349" s="3"/>
    </row>
    <row r="3350" spans="3:3" x14ac:dyDescent="0.25">
      <c r="C3350" s="3"/>
    </row>
    <row r="3351" spans="3:3" x14ac:dyDescent="0.25">
      <c r="C3351" s="3"/>
    </row>
    <row r="3352" spans="3:3" x14ac:dyDescent="0.25">
      <c r="C3352" s="3"/>
    </row>
    <row r="3353" spans="3:3" x14ac:dyDescent="0.25">
      <c r="C3353" s="3"/>
    </row>
    <row r="3354" spans="3:3" x14ac:dyDescent="0.25">
      <c r="C3354" s="3"/>
    </row>
    <row r="3355" spans="3:3" x14ac:dyDescent="0.25">
      <c r="C3355" s="3"/>
    </row>
    <row r="3356" spans="3:3" x14ac:dyDescent="0.25">
      <c r="C3356" s="3"/>
    </row>
    <row r="3357" spans="3:3" x14ac:dyDescent="0.25">
      <c r="C3357" s="3"/>
    </row>
    <row r="3358" spans="3:3" x14ac:dyDescent="0.25">
      <c r="C3358" s="3"/>
    </row>
    <row r="3359" spans="3:3" x14ac:dyDescent="0.25">
      <c r="C3359" s="3"/>
    </row>
    <row r="3360" spans="3:3" x14ac:dyDescent="0.25">
      <c r="C3360" s="3"/>
    </row>
    <row r="3361" spans="3:3" x14ac:dyDescent="0.25">
      <c r="C3361" s="3"/>
    </row>
    <row r="3362" spans="3:3" x14ac:dyDescent="0.25">
      <c r="C3362" s="3"/>
    </row>
    <row r="3363" spans="3:3" x14ac:dyDescent="0.25">
      <c r="C3363" s="3"/>
    </row>
    <row r="3364" spans="3:3" x14ac:dyDescent="0.25">
      <c r="C3364" s="3"/>
    </row>
    <row r="3365" spans="3:3" x14ac:dyDescent="0.25">
      <c r="C3365" s="3"/>
    </row>
    <row r="3366" spans="3:3" x14ac:dyDescent="0.25">
      <c r="C3366" s="3"/>
    </row>
    <row r="3367" spans="3:3" x14ac:dyDescent="0.25">
      <c r="C3367" s="3"/>
    </row>
    <row r="3368" spans="3:3" x14ac:dyDescent="0.25">
      <c r="C3368" s="3"/>
    </row>
    <row r="3369" spans="3:3" x14ac:dyDescent="0.25">
      <c r="C3369" s="3"/>
    </row>
    <row r="3370" spans="3:3" x14ac:dyDescent="0.25">
      <c r="C3370" s="3"/>
    </row>
    <row r="3371" spans="3:3" x14ac:dyDescent="0.25">
      <c r="C3371" s="3"/>
    </row>
    <row r="3372" spans="3:3" x14ac:dyDescent="0.25">
      <c r="C3372" s="3"/>
    </row>
    <row r="3373" spans="3:3" x14ac:dyDescent="0.25">
      <c r="C3373" s="3"/>
    </row>
    <row r="3374" spans="3:3" x14ac:dyDescent="0.25">
      <c r="C3374" s="3"/>
    </row>
    <row r="3375" spans="3:3" x14ac:dyDescent="0.25">
      <c r="C3375" s="3"/>
    </row>
    <row r="3376" spans="3:3" x14ac:dyDescent="0.25">
      <c r="C3376" s="3"/>
    </row>
    <row r="3377" spans="3:3" x14ac:dyDescent="0.25">
      <c r="C3377" s="3"/>
    </row>
    <row r="3378" spans="3:3" x14ac:dyDescent="0.25">
      <c r="C3378" s="3"/>
    </row>
    <row r="3379" spans="3:3" x14ac:dyDescent="0.25">
      <c r="C3379" s="3"/>
    </row>
    <row r="3380" spans="3:3" x14ac:dyDescent="0.25">
      <c r="C3380" s="3"/>
    </row>
    <row r="3381" spans="3:3" x14ac:dyDescent="0.25">
      <c r="C3381" s="3"/>
    </row>
    <row r="3382" spans="3:3" x14ac:dyDescent="0.25">
      <c r="C3382" s="3"/>
    </row>
    <row r="3383" spans="3:3" x14ac:dyDescent="0.25">
      <c r="C3383" s="3"/>
    </row>
    <row r="3384" spans="3:3" x14ac:dyDescent="0.25">
      <c r="C3384" s="3"/>
    </row>
    <row r="3385" spans="3:3" x14ac:dyDescent="0.25">
      <c r="C3385" s="3"/>
    </row>
    <row r="3386" spans="3:3" x14ac:dyDescent="0.25">
      <c r="C3386" s="3"/>
    </row>
    <row r="3387" spans="3:3" x14ac:dyDescent="0.25">
      <c r="C3387" s="3"/>
    </row>
    <row r="3388" spans="3:3" x14ac:dyDescent="0.25">
      <c r="C3388" s="3"/>
    </row>
    <row r="3389" spans="3:3" x14ac:dyDescent="0.25">
      <c r="C3389" s="3"/>
    </row>
    <row r="3390" spans="3:3" x14ac:dyDescent="0.25">
      <c r="C3390" s="3"/>
    </row>
    <row r="3391" spans="3:3" x14ac:dyDescent="0.25">
      <c r="C3391" s="3"/>
    </row>
    <row r="3392" spans="3:3" x14ac:dyDescent="0.25">
      <c r="C3392" s="3"/>
    </row>
    <row r="3393" spans="3:3" x14ac:dyDescent="0.25">
      <c r="C3393" s="3"/>
    </row>
    <row r="3394" spans="3:3" x14ac:dyDescent="0.25">
      <c r="C3394" s="3"/>
    </row>
    <row r="3395" spans="3:3" x14ac:dyDescent="0.25">
      <c r="C3395" s="3"/>
    </row>
    <row r="3396" spans="3:3" x14ac:dyDescent="0.25">
      <c r="C3396" s="3"/>
    </row>
    <row r="3397" spans="3:3" x14ac:dyDescent="0.25">
      <c r="C3397" s="3"/>
    </row>
    <row r="3398" spans="3:3" x14ac:dyDescent="0.25">
      <c r="C3398" s="3"/>
    </row>
    <row r="3399" spans="3:3" x14ac:dyDescent="0.25">
      <c r="C3399" s="3"/>
    </row>
    <row r="3400" spans="3:3" x14ac:dyDescent="0.25">
      <c r="C3400" s="3"/>
    </row>
    <row r="3401" spans="3:3" x14ac:dyDescent="0.25">
      <c r="C3401" s="3"/>
    </row>
    <row r="3402" spans="3:3" x14ac:dyDescent="0.25">
      <c r="C3402" s="3"/>
    </row>
    <row r="3403" spans="3:3" x14ac:dyDescent="0.25">
      <c r="C3403" s="3"/>
    </row>
    <row r="3404" spans="3:3" x14ac:dyDescent="0.25">
      <c r="C3404" s="3"/>
    </row>
    <row r="3405" spans="3:3" x14ac:dyDescent="0.25">
      <c r="C3405" s="3"/>
    </row>
    <row r="3406" spans="3:3" x14ac:dyDescent="0.25">
      <c r="C3406" s="3"/>
    </row>
    <row r="3407" spans="3:3" x14ac:dyDescent="0.25">
      <c r="C3407" s="3"/>
    </row>
    <row r="3408" spans="3:3" x14ac:dyDescent="0.25">
      <c r="C3408" s="3"/>
    </row>
    <row r="3409" spans="3:3" x14ac:dyDescent="0.25">
      <c r="C3409" s="3"/>
    </row>
    <row r="3410" spans="3:3" x14ac:dyDescent="0.25">
      <c r="C3410" s="3"/>
    </row>
    <row r="3411" spans="3:3" x14ac:dyDescent="0.25">
      <c r="C3411" s="3"/>
    </row>
    <row r="3412" spans="3:3" x14ac:dyDescent="0.25">
      <c r="C3412" s="3"/>
    </row>
    <row r="3413" spans="3:3" x14ac:dyDescent="0.25">
      <c r="C3413" s="3"/>
    </row>
    <row r="3414" spans="3:3" x14ac:dyDescent="0.25">
      <c r="C3414" s="3"/>
    </row>
    <row r="3415" spans="3:3" x14ac:dyDescent="0.25">
      <c r="C3415" s="3"/>
    </row>
    <row r="3416" spans="3:3" x14ac:dyDescent="0.25">
      <c r="C3416" s="3"/>
    </row>
    <row r="3417" spans="3:3" x14ac:dyDescent="0.25">
      <c r="C3417" s="3"/>
    </row>
    <row r="3418" spans="3:3" x14ac:dyDescent="0.25">
      <c r="C3418" s="3"/>
    </row>
    <row r="3419" spans="3:3" x14ac:dyDescent="0.25">
      <c r="C3419" s="3"/>
    </row>
    <row r="3420" spans="3:3" x14ac:dyDescent="0.25">
      <c r="C3420" s="3"/>
    </row>
    <row r="3421" spans="3:3" x14ac:dyDescent="0.25">
      <c r="C3421" s="3"/>
    </row>
    <row r="3422" spans="3:3" x14ac:dyDescent="0.25">
      <c r="C3422" s="3"/>
    </row>
    <row r="3423" spans="3:3" x14ac:dyDescent="0.25">
      <c r="C3423" s="3"/>
    </row>
    <row r="3424" spans="3:3" x14ac:dyDescent="0.25">
      <c r="C3424" s="3"/>
    </row>
    <row r="3425" spans="3:3" x14ac:dyDescent="0.25">
      <c r="C3425" s="3"/>
    </row>
    <row r="3426" spans="3:3" x14ac:dyDescent="0.25">
      <c r="C3426" s="3"/>
    </row>
    <row r="3427" spans="3:3" x14ac:dyDescent="0.25">
      <c r="C3427" s="3"/>
    </row>
    <row r="3428" spans="3:3" x14ac:dyDescent="0.25">
      <c r="C3428" s="3"/>
    </row>
    <row r="3429" spans="3:3" x14ac:dyDescent="0.25">
      <c r="C3429" s="3"/>
    </row>
    <row r="3430" spans="3:3" x14ac:dyDescent="0.25">
      <c r="C3430" s="3"/>
    </row>
    <row r="3431" spans="3:3" x14ac:dyDescent="0.25">
      <c r="C3431" s="3"/>
    </row>
    <row r="3432" spans="3:3" x14ac:dyDescent="0.25">
      <c r="C3432" s="3"/>
    </row>
    <row r="3433" spans="3:3" x14ac:dyDescent="0.25">
      <c r="C3433" s="3"/>
    </row>
    <row r="3434" spans="3:3" x14ac:dyDescent="0.25">
      <c r="C3434" s="3"/>
    </row>
    <row r="3435" spans="3:3" x14ac:dyDescent="0.25">
      <c r="C3435" s="3"/>
    </row>
    <row r="3436" spans="3:3" x14ac:dyDescent="0.25">
      <c r="C3436" s="3"/>
    </row>
    <row r="3437" spans="3:3" x14ac:dyDescent="0.25">
      <c r="C3437" s="3"/>
    </row>
    <row r="3438" spans="3:3" x14ac:dyDescent="0.25">
      <c r="C3438" s="3"/>
    </row>
    <row r="3439" spans="3:3" x14ac:dyDescent="0.25">
      <c r="C3439" s="3"/>
    </row>
    <row r="3440" spans="3:3" x14ac:dyDescent="0.25">
      <c r="C3440" s="3"/>
    </row>
    <row r="3441" spans="3:3" x14ac:dyDescent="0.25">
      <c r="C3441" s="3"/>
    </row>
    <row r="3442" spans="3:3" x14ac:dyDescent="0.25">
      <c r="C3442" s="3"/>
    </row>
    <row r="3443" spans="3:3" x14ac:dyDescent="0.25">
      <c r="C3443" s="3"/>
    </row>
    <row r="3444" spans="3:3" x14ac:dyDescent="0.25">
      <c r="C3444" s="3"/>
    </row>
    <row r="3445" spans="3:3" x14ac:dyDescent="0.25">
      <c r="C3445" s="3"/>
    </row>
    <row r="3446" spans="3:3" x14ac:dyDescent="0.25">
      <c r="C3446" s="3"/>
    </row>
    <row r="3447" spans="3:3" x14ac:dyDescent="0.25">
      <c r="C3447" s="3"/>
    </row>
    <row r="3448" spans="3:3" x14ac:dyDescent="0.25">
      <c r="C3448" s="3"/>
    </row>
    <row r="3449" spans="3:3" x14ac:dyDescent="0.25">
      <c r="C3449" s="3"/>
    </row>
    <row r="3450" spans="3:3" x14ac:dyDescent="0.25">
      <c r="C3450" s="3"/>
    </row>
    <row r="3451" spans="3:3" x14ac:dyDescent="0.25">
      <c r="C3451" s="3"/>
    </row>
    <row r="3452" spans="3:3" x14ac:dyDescent="0.25">
      <c r="C3452" s="3"/>
    </row>
    <row r="3453" spans="3:3" x14ac:dyDescent="0.25">
      <c r="C3453" s="3"/>
    </row>
    <row r="3454" spans="3:3" x14ac:dyDescent="0.25">
      <c r="C3454" s="3"/>
    </row>
    <row r="3455" spans="3:3" x14ac:dyDescent="0.25">
      <c r="C3455" s="3"/>
    </row>
    <row r="3456" spans="3:3" x14ac:dyDescent="0.25">
      <c r="C3456" s="3"/>
    </row>
    <row r="3457" spans="3:3" x14ac:dyDescent="0.25">
      <c r="C3457" s="3"/>
    </row>
    <row r="3458" spans="3:3" x14ac:dyDescent="0.25">
      <c r="C3458" s="3"/>
    </row>
    <row r="3459" spans="3:3" x14ac:dyDescent="0.25">
      <c r="C3459" s="3"/>
    </row>
    <row r="3460" spans="3:3" x14ac:dyDescent="0.25">
      <c r="C3460" s="3"/>
    </row>
    <row r="3461" spans="3:3" x14ac:dyDescent="0.25">
      <c r="C3461" s="3"/>
    </row>
    <row r="3462" spans="3:3" x14ac:dyDescent="0.25">
      <c r="C3462" s="3"/>
    </row>
    <row r="3463" spans="3:3" x14ac:dyDescent="0.25">
      <c r="C3463" s="3"/>
    </row>
    <row r="3464" spans="3:3" x14ac:dyDescent="0.25">
      <c r="C3464" s="3"/>
    </row>
    <row r="3465" spans="3:3" x14ac:dyDescent="0.25">
      <c r="C3465" s="3"/>
    </row>
    <row r="3466" spans="3:3" x14ac:dyDescent="0.25">
      <c r="C3466" s="3"/>
    </row>
    <row r="3467" spans="3:3" x14ac:dyDescent="0.25">
      <c r="C3467" s="3"/>
    </row>
    <row r="3468" spans="3:3" x14ac:dyDescent="0.25">
      <c r="C3468" s="3"/>
    </row>
    <row r="3469" spans="3:3" x14ac:dyDescent="0.25">
      <c r="C3469" s="3"/>
    </row>
    <row r="3470" spans="3:3" x14ac:dyDescent="0.25">
      <c r="C3470" s="3"/>
    </row>
    <row r="3471" spans="3:3" x14ac:dyDescent="0.25">
      <c r="C3471" s="3"/>
    </row>
    <row r="3472" spans="3:3" x14ac:dyDescent="0.25">
      <c r="C3472" s="3"/>
    </row>
    <row r="3473" spans="3:3" x14ac:dyDescent="0.25">
      <c r="C3473" s="3"/>
    </row>
    <row r="3474" spans="3:3" x14ac:dyDescent="0.25">
      <c r="C3474" s="3"/>
    </row>
    <row r="3475" spans="3:3" x14ac:dyDescent="0.25">
      <c r="C3475" s="3"/>
    </row>
    <row r="3476" spans="3:3" x14ac:dyDescent="0.25">
      <c r="C3476" s="3"/>
    </row>
    <row r="3477" spans="3:3" x14ac:dyDescent="0.25">
      <c r="C3477" s="3"/>
    </row>
    <row r="3478" spans="3:3" x14ac:dyDescent="0.25">
      <c r="C3478" s="3"/>
    </row>
    <row r="3479" spans="3:3" x14ac:dyDescent="0.25">
      <c r="C3479" s="3"/>
    </row>
    <row r="3480" spans="3:3" x14ac:dyDescent="0.25">
      <c r="C3480" s="3"/>
    </row>
    <row r="3481" spans="3:3" x14ac:dyDescent="0.25">
      <c r="C3481" s="3"/>
    </row>
    <row r="3482" spans="3:3" x14ac:dyDescent="0.25">
      <c r="C3482" s="3"/>
    </row>
    <row r="3483" spans="3:3" x14ac:dyDescent="0.25">
      <c r="C3483" s="3"/>
    </row>
    <row r="3484" spans="3:3" x14ac:dyDescent="0.25">
      <c r="C3484" s="3"/>
    </row>
    <row r="3485" spans="3:3" x14ac:dyDescent="0.25">
      <c r="C3485" s="3"/>
    </row>
    <row r="3486" spans="3:3" x14ac:dyDescent="0.25">
      <c r="C3486" s="3"/>
    </row>
    <row r="3487" spans="3:3" x14ac:dyDescent="0.25">
      <c r="C3487" s="3"/>
    </row>
    <row r="3488" spans="3:3" x14ac:dyDescent="0.25">
      <c r="C3488" s="3"/>
    </row>
    <row r="3489" spans="3:3" x14ac:dyDescent="0.25">
      <c r="C3489" s="3"/>
    </row>
    <row r="3490" spans="3:3" x14ac:dyDescent="0.25">
      <c r="C3490" s="3"/>
    </row>
    <row r="3491" spans="3:3" x14ac:dyDescent="0.25">
      <c r="C3491" s="3"/>
    </row>
    <row r="3492" spans="3:3" x14ac:dyDescent="0.25">
      <c r="C3492" s="3"/>
    </row>
    <row r="3493" spans="3:3" x14ac:dyDescent="0.25">
      <c r="C3493" s="3"/>
    </row>
    <row r="3494" spans="3:3" x14ac:dyDescent="0.25">
      <c r="C3494" s="3"/>
    </row>
    <row r="3495" spans="3:3" x14ac:dyDescent="0.25">
      <c r="C3495" s="3"/>
    </row>
    <row r="3496" spans="3:3" x14ac:dyDescent="0.25">
      <c r="C3496" s="3"/>
    </row>
    <row r="3497" spans="3:3" x14ac:dyDescent="0.25">
      <c r="C3497" s="3"/>
    </row>
    <row r="3498" spans="3:3" x14ac:dyDescent="0.25">
      <c r="C3498" s="3"/>
    </row>
    <row r="3499" spans="3:3" x14ac:dyDescent="0.25">
      <c r="C3499" s="3"/>
    </row>
    <row r="3500" spans="3:3" x14ac:dyDescent="0.25">
      <c r="C3500" s="3"/>
    </row>
    <row r="3501" spans="3:3" x14ac:dyDescent="0.25">
      <c r="C3501" s="3"/>
    </row>
    <row r="3502" spans="3:3" x14ac:dyDescent="0.25">
      <c r="C3502" s="3"/>
    </row>
    <row r="3503" spans="3:3" x14ac:dyDescent="0.25">
      <c r="C3503" s="3"/>
    </row>
    <row r="3504" spans="3:3" x14ac:dyDescent="0.25">
      <c r="C3504" s="3"/>
    </row>
    <row r="3505" spans="3:3" x14ac:dyDescent="0.25">
      <c r="C3505" s="3"/>
    </row>
    <row r="3506" spans="3:3" x14ac:dyDescent="0.25">
      <c r="C3506" s="3"/>
    </row>
    <row r="3507" spans="3:3" x14ac:dyDescent="0.25">
      <c r="C3507" s="3"/>
    </row>
    <row r="3508" spans="3:3" x14ac:dyDescent="0.25">
      <c r="C3508" s="3"/>
    </row>
    <row r="3509" spans="3:3" x14ac:dyDescent="0.25">
      <c r="C3509" s="3"/>
    </row>
    <row r="3510" spans="3:3" x14ac:dyDescent="0.25">
      <c r="C3510" s="3"/>
    </row>
    <row r="3511" spans="3:3" x14ac:dyDescent="0.25">
      <c r="C3511" s="3"/>
    </row>
    <row r="3512" spans="3:3" x14ac:dyDescent="0.25">
      <c r="C3512" s="3"/>
    </row>
    <row r="3513" spans="3:3" x14ac:dyDescent="0.25">
      <c r="C3513" s="3"/>
    </row>
    <row r="3514" spans="3:3" x14ac:dyDescent="0.25">
      <c r="C3514" s="3"/>
    </row>
    <row r="3515" spans="3:3" x14ac:dyDescent="0.25">
      <c r="C3515" s="3"/>
    </row>
    <row r="3516" spans="3:3" x14ac:dyDescent="0.25">
      <c r="C3516" s="3"/>
    </row>
    <row r="3517" spans="3:3" x14ac:dyDescent="0.25">
      <c r="C3517" s="3"/>
    </row>
    <row r="3518" spans="3:3" x14ac:dyDescent="0.25">
      <c r="C3518" s="3"/>
    </row>
    <row r="3519" spans="3:3" x14ac:dyDescent="0.25">
      <c r="C3519" s="3"/>
    </row>
    <row r="3520" spans="3:3" x14ac:dyDescent="0.25">
      <c r="C3520" s="3"/>
    </row>
    <row r="3521" spans="3:3" x14ac:dyDescent="0.25">
      <c r="C3521" s="3"/>
    </row>
    <row r="3522" spans="3:3" x14ac:dyDescent="0.25">
      <c r="C3522" s="3"/>
    </row>
    <row r="3523" spans="3:3" x14ac:dyDescent="0.25">
      <c r="C3523" s="3"/>
    </row>
    <row r="3524" spans="3:3" x14ac:dyDescent="0.25">
      <c r="C3524" s="3"/>
    </row>
    <row r="3525" spans="3:3" x14ac:dyDescent="0.25">
      <c r="C3525" s="3"/>
    </row>
    <row r="3526" spans="3:3" x14ac:dyDescent="0.25">
      <c r="C3526" s="3"/>
    </row>
    <row r="3527" spans="3:3" x14ac:dyDescent="0.25">
      <c r="C3527" s="3"/>
    </row>
    <row r="3528" spans="3:3" x14ac:dyDescent="0.25">
      <c r="C3528" s="3"/>
    </row>
    <row r="3529" spans="3:3" x14ac:dyDescent="0.25">
      <c r="C3529" s="3"/>
    </row>
    <row r="3530" spans="3:3" x14ac:dyDescent="0.25">
      <c r="C3530" s="3"/>
    </row>
    <row r="3531" spans="3:3" x14ac:dyDescent="0.25">
      <c r="C3531" s="3"/>
    </row>
    <row r="3532" spans="3:3" x14ac:dyDescent="0.25">
      <c r="C3532" s="3"/>
    </row>
    <row r="3533" spans="3:3" x14ac:dyDescent="0.25">
      <c r="C3533" s="3"/>
    </row>
    <row r="3534" spans="3:3" x14ac:dyDescent="0.25">
      <c r="C3534" s="3"/>
    </row>
    <row r="3535" spans="3:3" x14ac:dyDescent="0.25">
      <c r="C3535" s="3"/>
    </row>
    <row r="3536" spans="3:3" x14ac:dyDescent="0.25">
      <c r="C3536" s="3"/>
    </row>
    <row r="3537" spans="3:3" x14ac:dyDescent="0.25">
      <c r="C3537" s="3"/>
    </row>
    <row r="3538" spans="3:3" x14ac:dyDescent="0.25">
      <c r="C3538" s="3"/>
    </row>
    <row r="3539" spans="3:3" x14ac:dyDescent="0.25">
      <c r="C3539" s="3"/>
    </row>
    <row r="3540" spans="3:3" x14ac:dyDescent="0.25">
      <c r="C3540" s="3"/>
    </row>
    <row r="3541" spans="3:3" x14ac:dyDescent="0.25">
      <c r="C3541" s="3"/>
    </row>
    <row r="3542" spans="3:3" x14ac:dyDescent="0.25">
      <c r="C3542" s="3"/>
    </row>
    <row r="3543" spans="3:3" x14ac:dyDescent="0.25">
      <c r="C3543" s="3"/>
    </row>
    <row r="3544" spans="3:3" x14ac:dyDescent="0.25">
      <c r="C3544" s="3"/>
    </row>
    <row r="3545" spans="3:3" x14ac:dyDescent="0.25">
      <c r="C3545" s="3"/>
    </row>
    <row r="3546" spans="3:3" x14ac:dyDescent="0.25">
      <c r="C3546" s="3"/>
    </row>
    <row r="3547" spans="3:3" x14ac:dyDescent="0.25">
      <c r="C3547" s="3"/>
    </row>
    <row r="3548" spans="3:3" x14ac:dyDescent="0.25">
      <c r="C3548" s="3"/>
    </row>
    <row r="3549" spans="3:3" x14ac:dyDescent="0.25">
      <c r="C3549" s="3"/>
    </row>
    <row r="3550" spans="3:3" x14ac:dyDescent="0.25">
      <c r="C3550" s="3"/>
    </row>
    <row r="3551" spans="3:3" x14ac:dyDescent="0.25">
      <c r="C3551" s="3"/>
    </row>
    <row r="3552" spans="3:3" x14ac:dyDescent="0.25">
      <c r="C3552" s="3"/>
    </row>
    <row r="3553" spans="3:3" x14ac:dyDescent="0.25">
      <c r="C3553" s="3"/>
    </row>
    <row r="3554" spans="3:3" x14ac:dyDescent="0.25">
      <c r="C3554" s="3"/>
    </row>
    <row r="3555" spans="3:3" x14ac:dyDescent="0.25">
      <c r="C3555" s="3"/>
    </row>
    <row r="3556" spans="3:3" x14ac:dyDescent="0.25">
      <c r="C3556" s="3"/>
    </row>
    <row r="3557" spans="3:3" x14ac:dyDescent="0.25">
      <c r="C3557" s="3"/>
    </row>
    <row r="3558" spans="3:3" x14ac:dyDescent="0.25">
      <c r="C3558" s="3"/>
    </row>
    <row r="3559" spans="3:3" x14ac:dyDescent="0.25">
      <c r="C3559" s="3"/>
    </row>
    <row r="3560" spans="3:3" x14ac:dyDescent="0.25">
      <c r="C3560" s="3"/>
    </row>
    <row r="3561" spans="3:3" x14ac:dyDescent="0.25">
      <c r="C3561" s="3"/>
    </row>
    <row r="3562" spans="3:3" x14ac:dyDescent="0.25">
      <c r="C3562" s="3"/>
    </row>
    <row r="3563" spans="3:3" x14ac:dyDescent="0.25">
      <c r="C3563" s="3"/>
    </row>
    <row r="3564" spans="3:3" x14ac:dyDescent="0.25">
      <c r="C3564" s="3"/>
    </row>
    <row r="3565" spans="3:3" x14ac:dyDescent="0.25">
      <c r="C3565" s="3"/>
    </row>
    <row r="3566" spans="3:3" x14ac:dyDescent="0.25">
      <c r="C3566" s="3"/>
    </row>
    <row r="3567" spans="3:3" x14ac:dyDescent="0.25">
      <c r="C3567" s="3"/>
    </row>
    <row r="3568" spans="3:3" x14ac:dyDescent="0.25">
      <c r="C3568" s="3"/>
    </row>
    <row r="3569" spans="3:3" x14ac:dyDescent="0.25">
      <c r="C3569" s="3"/>
    </row>
    <row r="3570" spans="3:3" x14ac:dyDescent="0.25">
      <c r="C3570" s="3"/>
    </row>
    <row r="3571" spans="3:3" x14ac:dyDescent="0.25">
      <c r="C3571" s="3"/>
    </row>
    <row r="3572" spans="3:3" x14ac:dyDescent="0.25">
      <c r="C3572" s="3"/>
    </row>
    <row r="3573" spans="3:3" x14ac:dyDescent="0.25">
      <c r="C3573" s="3"/>
    </row>
    <row r="3574" spans="3:3" x14ac:dyDescent="0.25">
      <c r="C3574" s="3"/>
    </row>
    <row r="3575" spans="3:3" x14ac:dyDescent="0.25">
      <c r="C3575" s="3"/>
    </row>
    <row r="3576" spans="3:3" x14ac:dyDescent="0.25">
      <c r="C3576" s="3"/>
    </row>
    <row r="3577" spans="3:3" x14ac:dyDescent="0.25">
      <c r="C3577" s="3"/>
    </row>
    <row r="3578" spans="3:3" x14ac:dyDescent="0.25">
      <c r="C3578" s="3"/>
    </row>
    <row r="3579" spans="3:3" x14ac:dyDescent="0.25">
      <c r="C3579" s="3"/>
    </row>
    <row r="3580" spans="3:3" x14ac:dyDescent="0.25">
      <c r="C3580" s="3"/>
    </row>
    <row r="3581" spans="3:3" x14ac:dyDescent="0.25">
      <c r="C3581" s="3"/>
    </row>
    <row r="3582" spans="3:3" x14ac:dyDescent="0.25">
      <c r="C3582" s="3"/>
    </row>
    <row r="3583" spans="3:3" x14ac:dyDescent="0.25">
      <c r="C3583" s="3"/>
    </row>
    <row r="3584" spans="3:3" x14ac:dyDescent="0.25">
      <c r="C3584" s="3"/>
    </row>
    <row r="3585" spans="3:3" x14ac:dyDescent="0.25">
      <c r="C3585" s="3"/>
    </row>
    <row r="3586" spans="3:3" x14ac:dyDescent="0.25">
      <c r="C3586" s="3"/>
    </row>
    <row r="3587" spans="3:3" x14ac:dyDescent="0.25">
      <c r="C3587" s="3"/>
    </row>
    <row r="3588" spans="3:3" x14ac:dyDescent="0.25">
      <c r="C3588" s="3"/>
    </row>
    <row r="3589" spans="3:3" x14ac:dyDescent="0.25">
      <c r="C3589" s="3"/>
    </row>
    <row r="3590" spans="3:3" x14ac:dyDescent="0.25">
      <c r="C3590" s="3"/>
    </row>
    <row r="3591" spans="3:3" x14ac:dyDescent="0.25">
      <c r="C3591" s="3"/>
    </row>
    <row r="3592" spans="3:3" x14ac:dyDescent="0.25">
      <c r="C3592" s="3"/>
    </row>
    <row r="3593" spans="3:3" x14ac:dyDescent="0.25">
      <c r="C3593" s="3"/>
    </row>
    <row r="3594" spans="3:3" x14ac:dyDescent="0.25">
      <c r="C3594" s="3"/>
    </row>
    <row r="3595" spans="3:3" x14ac:dyDescent="0.25">
      <c r="C3595" s="3"/>
    </row>
    <row r="3596" spans="3:3" x14ac:dyDescent="0.25">
      <c r="C3596" s="3"/>
    </row>
    <row r="3597" spans="3:3" x14ac:dyDescent="0.25">
      <c r="C3597" s="3"/>
    </row>
    <row r="3598" spans="3:3" x14ac:dyDescent="0.25">
      <c r="C3598" s="3"/>
    </row>
    <row r="3599" spans="3:3" x14ac:dyDescent="0.25">
      <c r="C3599" s="3"/>
    </row>
    <row r="3600" spans="3:3" x14ac:dyDescent="0.25">
      <c r="C3600" s="3"/>
    </row>
    <row r="3601" spans="3:3" x14ac:dyDescent="0.25">
      <c r="C3601" s="3"/>
    </row>
    <row r="3602" spans="3:3" x14ac:dyDescent="0.25">
      <c r="C3602" s="3"/>
    </row>
    <row r="3603" spans="3:3" x14ac:dyDescent="0.25">
      <c r="C3603" s="3"/>
    </row>
    <row r="3604" spans="3:3" x14ac:dyDescent="0.25">
      <c r="C3604" s="3"/>
    </row>
    <row r="3605" spans="3:3" x14ac:dyDescent="0.25">
      <c r="C3605" s="3"/>
    </row>
    <row r="3606" spans="3:3" x14ac:dyDescent="0.25">
      <c r="C3606" s="3"/>
    </row>
    <row r="3607" spans="3:3" x14ac:dyDescent="0.25">
      <c r="C3607" s="3"/>
    </row>
    <row r="3608" spans="3:3" x14ac:dyDescent="0.25">
      <c r="C3608" s="3"/>
    </row>
    <row r="3609" spans="3:3" x14ac:dyDescent="0.25">
      <c r="C3609" s="3"/>
    </row>
    <row r="3610" spans="3:3" x14ac:dyDescent="0.25">
      <c r="C3610" s="3"/>
    </row>
    <row r="3611" spans="3:3" x14ac:dyDescent="0.25">
      <c r="C3611" s="3"/>
    </row>
    <row r="3612" spans="3:3" x14ac:dyDescent="0.25">
      <c r="C3612" s="3"/>
    </row>
    <row r="3613" spans="3:3" x14ac:dyDescent="0.25">
      <c r="C3613" s="3"/>
    </row>
    <row r="3614" spans="3:3" x14ac:dyDescent="0.25">
      <c r="C3614" s="3"/>
    </row>
    <row r="3615" spans="3:3" x14ac:dyDescent="0.25">
      <c r="C3615" s="3"/>
    </row>
    <row r="3616" spans="3:3" x14ac:dyDescent="0.25">
      <c r="C3616" s="3"/>
    </row>
    <row r="3617" spans="3:3" x14ac:dyDescent="0.25">
      <c r="C3617" s="3"/>
    </row>
    <row r="3618" spans="3:3" x14ac:dyDescent="0.25">
      <c r="C3618" s="3"/>
    </row>
    <row r="3619" spans="3:3" x14ac:dyDescent="0.25">
      <c r="C3619" s="3"/>
    </row>
    <row r="3620" spans="3:3" x14ac:dyDescent="0.25">
      <c r="C3620" s="3"/>
    </row>
    <row r="3621" spans="3:3" x14ac:dyDescent="0.25">
      <c r="C3621" s="3"/>
    </row>
    <row r="3622" spans="3:3" x14ac:dyDescent="0.25">
      <c r="C3622" s="3"/>
    </row>
    <row r="3623" spans="3:3" x14ac:dyDescent="0.25">
      <c r="C3623" s="3"/>
    </row>
    <row r="3624" spans="3:3" x14ac:dyDescent="0.25">
      <c r="C3624" s="3"/>
    </row>
    <row r="3625" spans="3:3" x14ac:dyDescent="0.25">
      <c r="C3625" s="3"/>
    </row>
    <row r="3626" spans="3:3" x14ac:dyDescent="0.25">
      <c r="C3626" s="3"/>
    </row>
    <row r="3627" spans="3:3" x14ac:dyDescent="0.25">
      <c r="C3627" s="3"/>
    </row>
    <row r="3628" spans="3:3" x14ac:dyDescent="0.25">
      <c r="C3628" s="3"/>
    </row>
    <row r="3629" spans="3:3" x14ac:dyDescent="0.25">
      <c r="C3629" s="3"/>
    </row>
    <row r="3630" spans="3:3" x14ac:dyDescent="0.25">
      <c r="C3630" s="3"/>
    </row>
    <row r="3631" spans="3:3" x14ac:dyDescent="0.25">
      <c r="C3631" s="3"/>
    </row>
    <row r="3632" spans="3:3" x14ac:dyDescent="0.25">
      <c r="C3632" s="3"/>
    </row>
    <row r="3633" spans="3:3" x14ac:dyDescent="0.25">
      <c r="C3633" s="3"/>
    </row>
    <row r="3634" spans="3:3" x14ac:dyDescent="0.25">
      <c r="C3634" s="3"/>
    </row>
    <row r="3635" spans="3:3" x14ac:dyDescent="0.25">
      <c r="C3635" s="3"/>
    </row>
    <row r="3636" spans="3:3" x14ac:dyDescent="0.25">
      <c r="C3636" s="3"/>
    </row>
    <row r="3637" spans="3:3" x14ac:dyDescent="0.25">
      <c r="C3637" s="3"/>
    </row>
    <row r="3638" spans="3:3" x14ac:dyDescent="0.25">
      <c r="C3638" s="3"/>
    </row>
    <row r="3639" spans="3:3" x14ac:dyDescent="0.25">
      <c r="C3639" s="3"/>
    </row>
    <row r="3640" spans="3:3" x14ac:dyDescent="0.25">
      <c r="C3640" s="3"/>
    </row>
    <row r="3641" spans="3:3" x14ac:dyDescent="0.25">
      <c r="C3641" s="3"/>
    </row>
    <row r="3642" spans="3:3" x14ac:dyDescent="0.25">
      <c r="C3642" s="3"/>
    </row>
    <row r="3643" spans="3:3" x14ac:dyDescent="0.25">
      <c r="C3643" s="3"/>
    </row>
    <row r="3644" spans="3:3" x14ac:dyDescent="0.25">
      <c r="C3644" s="3"/>
    </row>
    <row r="3645" spans="3:3" x14ac:dyDescent="0.25">
      <c r="C3645" s="3"/>
    </row>
    <row r="3646" spans="3:3" x14ac:dyDescent="0.25">
      <c r="C3646" s="3"/>
    </row>
    <row r="3647" spans="3:3" x14ac:dyDescent="0.25">
      <c r="C3647" s="3"/>
    </row>
    <row r="3648" spans="3:3" x14ac:dyDescent="0.25">
      <c r="C3648" s="3"/>
    </row>
    <row r="3649" spans="3:3" x14ac:dyDescent="0.25">
      <c r="C3649" s="3"/>
    </row>
    <row r="3650" spans="3:3" x14ac:dyDescent="0.25">
      <c r="C3650" s="3"/>
    </row>
    <row r="3651" spans="3:3" x14ac:dyDescent="0.25">
      <c r="C3651" s="3"/>
    </row>
    <row r="3652" spans="3:3" x14ac:dyDescent="0.25">
      <c r="C3652" s="3"/>
    </row>
    <row r="3653" spans="3:3" x14ac:dyDescent="0.25">
      <c r="C365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L10"/>
  <sheetViews>
    <sheetView workbookViewId="0">
      <selection activeCell="J28" sqref="J28"/>
    </sheetView>
  </sheetViews>
  <sheetFormatPr defaultRowHeight="15" x14ac:dyDescent="0.25"/>
  <sheetData>
    <row r="1" spans="1:12" x14ac:dyDescent="0.25">
      <c r="A1" s="23" t="s">
        <v>1953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s="24" t="s">
        <v>1954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25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9"/>
    </row>
    <row r="5" spans="1:12" x14ac:dyDescent="0.25">
      <c r="A5" s="24" t="s">
        <v>1955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x14ac:dyDescent="0.2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9"/>
    </row>
    <row r="7" spans="1:12" x14ac:dyDescent="0.25">
      <c r="A7" s="24" t="s">
        <v>1956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x14ac:dyDescent="0.25">
      <c r="A8" s="8"/>
      <c r="B8" s="7"/>
      <c r="C8" s="7"/>
      <c r="D8" s="7"/>
      <c r="E8" s="7"/>
      <c r="F8" s="7"/>
      <c r="G8" s="7"/>
      <c r="H8" s="7"/>
      <c r="I8" s="7"/>
      <c r="J8" s="7"/>
      <c r="K8" s="7"/>
      <c r="L8" s="9"/>
    </row>
    <row r="9" spans="1:12" x14ac:dyDescent="0.25">
      <c r="A9" s="24" t="s">
        <v>1957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12" ht="36" customHeight="1" x14ac:dyDescent="0.25">
      <c r="A10" s="20" t="s">
        <v>1959</v>
      </c>
      <c r="B10" s="20"/>
      <c r="C10" s="20"/>
      <c r="D10" s="20"/>
      <c r="E10" s="20"/>
      <c r="F10" s="20"/>
      <c r="G10" s="21" t="s">
        <v>1958</v>
      </c>
      <c r="H10" s="22"/>
      <c r="I10" s="22"/>
      <c r="J10" s="22"/>
      <c r="K10" s="22"/>
      <c r="L10" s="22"/>
    </row>
  </sheetData>
  <mergeCells count="7">
    <mergeCell ref="A10:F10"/>
    <mergeCell ref="G10:L10"/>
    <mergeCell ref="A1:L2"/>
    <mergeCell ref="A3:L3"/>
    <mergeCell ref="A5:L5"/>
    <mergeCell ref="A7:L7"/>
    <mergeCell ref="A9:L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2071D16C5FCA4B994EA695ECFE0430" ma:contentTypeVersion="5" ma:contentTypeDescription="Create a new document." ma:contentTypeScope="" ma:versionID="a0462966e5395385bf9c433b805faa7b">
  <xsd:schema xmlns:xsd="http://www.w3.org/2001/XMLSchema" xmlns:xs="http://www.w3.org/2001/XMLSchema" xmlns:p="http://schemas.microsoft.com/office/2006/metadata/properties" xmlns:ns3="32a242d6-d8da-474b-83b0-0f30ad7bdd38" targetNamespace="http://schemas.microsoft.com/office/2006/metadata/properties" ma:root="true" ma:fieldsID="ec7494e3966e6899dd04a21af9d5e24f" ns3:_="">
    <xsd:import namespace="32a242d6-d8da-474b-83b0-0f30ad7bdd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242d6-d8da-474b-83b0-0f30ad7bdd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a242d6-d8da-474b-83b0-0f30ad7bdd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7A33F4-E809-4A35-A9F0-EC38CB0C1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a242d6-d8da-474b-83b0-0f30ad7bdd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CEFD62-B0E2-4C27-AFA8-A5CD6EE6A81E}">
  <ds:schemaRefs>
    <ds:schemaRef ds:uri="http://purl.org/dc/elements/1.1/"/>
    <ds:schemaRef ds:uri="http://schemas.microsoft.com/office/2006/metadata/properties"/>
    <ds:schemaRef ds:uri="32a242d6-d8da-474b-83b0-0f30ad7bdd3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50D475A-9680-4491-B02B-5055A92D44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RAW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pcadmin</dc:creator>
  <cp:lastModifiedBy>pcadmin</cp:lastModifiedBy>
  <cp:lastPrinted>2026-03-12T14:32:54Z</cp:lastPrinted>
  <dcterms:created xsi:type="dcterms:W3CDTF">2026-03-04T14:48:10Z</dcterms:created>
  <dcterms:modified xsi:type="dcterms:W3CDTF">2026-04-02T20:35:30Z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0x010100092071D16C5FCA4B994EA695ECFE0430</vt:lpwstr>
  </property>
</Properties>
</file>